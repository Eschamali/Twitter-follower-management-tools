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5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kkun\TwitterAPI\"/>
    </mc:Choice>
  </mc:AlternateContent>
  <xr:revisionPtr revIDLastSave="0" documentId="13_ncr:1_{ABE032FD-9B87-4B43-B041-D59D213C5925}" xr6:coauthVersionLast="47" xr6:coauthVersionMax="47" xr10:uidLastSave="{00000000-0000-0000-0000-000000000000}"/>
  <bookViews>
    <workbookView xWindow="-120" yWindow="-120" windowWidth="29040" windowHeight="16440" xr2:uid="{8E984CB6-0974-40FF-A930-B6E5987DCD56}"/>
  </bookViews>
  <sheets>
    <sheet name="compare_results" sheetId="9" r:id="rId1"/>
    <sheet name="ReportLog" sheetId="11" r:id="rId2"/>
    <sheet name="follow" sheetId="1" r:id="rId3"/>
    <sheet name="follower" sheetId="3" r:id="rId4"/>
    <sheet name="before_follow" sheetId="7" r:id="rId5"/>
    <sheet name="before_follower" sheetId="8" r:id="rId6"/>
    <sheet name="setting" sheetId="12" state="hidden" r:id="rId7"/>
  </sheets>
  <definedNames>
    <definedName name="ExternalData_1" localSheetId="4" hidden="1">before_follow!$A$5:$P$6</definedName>
    <definedName name="ExternalData_1" localSheetId="5" hidden="1">before_follower!$A$5:$P$6</definedName>
    <definedName name="ExternalData_1" localSheetId="0" hidden="1">compare_results!$A$17:$E$18</definedName>
    <definedName name="ExternalData_1" localSheetId="2" hidden="1">follow!$A$5:$P$6</definedName>
    <definedName name="ExternalData_1" localSheetId="3" hidden="1">follower!$A$5:$P$6</definedName>
    <definedName name="ExternalData_2" localSheetId="0" hidden="1">compare_results!$H$17:$L$18</definedName>
    <definedName name="ExternalData_3" localSheetId="0" hidden="1">compare_results!$O$17:$S$18</definedName>
    <definedName name="ExternalData_4" localSheetId="0" hidden="1">compare_results!$V$17:$Z$18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9" l="1" a="1"/>
  <c r="H3" i="9" s="1"/>
  <c r="B3" i="7" l="1"/>
  <c r="B3" i="1"/>
  <c r="A6" i="9" s="1"/>
  <c r="B3" i="3"/>
  <c r="B6" i="9" s="1"/>
  <c r="B3" i="8"/>
  <c r="C6" i="9" l="1"/>
  <c r="A9" i="9"/>
  <c r="B9" i="9" s="1"/>
  <c r="C9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クエリ - before_follow" description="ブック内の 'before_follow' クエリへの接続です。" type="5" refreshedVersion="8" saveData="1">
    <dbPr connection="Provider=Microsoft.Mashup.OleDb.1;Data Source=$Workbook$;Location=before_follow;Extended Properties=&quot;&quot;" command="SELECT * FROM [before_follow]"/>
  </connection>
  <connection id="2" xr16:uid="{00000000-0015-0000-FFFF-FFFF01000000}" keepAlive="1" name="クエリ - before_follower" description="ブック内の 'before_follower' クエリへの接続です。" type="5" refreshedVersion="8" saveData="1">
    <dbPr connection="Provider=Microsoft.Mashup.OleDb.1;Data Source=$Workbook$;Location=before_follower;Extended Properties=&quot;&quot;" command="SELECT * FROM [before_follower]"/>
  </connection>
  <connection id="3" xr16:uid="{00000000-0015-0000-FFFF-FFFF02000000}" keepAlive="1" name="クエリ - deleteFollow" description="ブック内の 'deleteFollow' クエリへの接続です。" type="5" refreshedVersion="8" saveData="1">
    <dbPr connection="Provider=Microsoft.Mashup.OleDb.1;Data Source=$Workbook$;Location=deleteFollow;Extended Properties=&quot;&quot;" command="SELECT * FROM [deleteFollow]"/>
  </connection>
  <connection id="4" xr16:uid="{00000000-0015-0000-FFFF-FFFF03000000}" keepAlive="1" name="クエリ - deleteFollower" description="ブック内の 'deleteFollower' クエリへの接続です。" type="5" refreshedVersion="8" saveData="1">
    <dbPr connection="Provider=Microsoft.Mashup.OleDb.1;Data Source=$Workbook$;Location=deleteFollower;Extended Properties=&quot;&quot;" command="SELECT * FROM [deleteFollower]"/>
  </connection>
  <connection id="5" xr16:uid="{00000000-0015-0000-FFFF-FFFF04000000}" keepAlive="1" name="クエリ - follow" description="ブック内の 'follow' クエリへの接続です。" type="5" refreshedVersion="8" saveData="1">
    <dbPr connection="Provider=Microsoft.Mashup.OleDb.1;Data Source=$Workbook$;Location=follow;Extended Properties=&quot;&quot;" command="SELECT * FROM [follow]"/>
  </connection>
  <connection id="6" xr16:uid="{00000000-0015-0000-FFFF-FFFF05000000}" keepAlive="1" name="クエリ - follower" description="ブック内の 'follower' クエリへの接続です。" type="5" refreshedVersion="8" saveData="1">
    <dbPr connection="Provider=Microsoft.Mashup.OleDb.1;Data Source=$Workbook$;Location=follower;Extended Properties=&quot;&quot;" command="SELECT * FROM [follower]"/>
  </connection>
  <connection id="7" xr16:uid="{00000000-0015-0000-FFFF-FFFF06000000}" keepAlive="1" name="クエリ - newFollow" description="ブック内の 'newFollow' クエリへの接続です。" type="5" refreshedVersion="8" saveData="1">
    <dbPr connection="Provider=Microsoft.Mashup.OleDb.1;Data Source=$Workbook$;Location=newFollow;Extended Properties=&quot;&quot;" command="SELECT * FROM [newFollow]"/>
  </connection>
  <connection id="8" xr16:uid="{00000000-0015-0000-FFFF-FFFF07000000}" keepAlive="1" name="クエリ - newFollower" description="ブック内の 'newFollower' クエリへの接続です。" type="5" refreshedVersion="8" saveData="1">
    <dbPr connection="Provider=Microsoft.Mashup.OleDb.1;Data Source=$Workbook$;Location=newFollower;Extended Properties=&quot;&quot;" command="SELECT * FROM [newFollower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<sst xmlns="http://schemas.openxmlformats.org/spreadsheetml/2006/main" count="136" uniqueCount="58">
  <si>
    <t>ID</t>
  </si>
  <si>
    <t>名前</t>
  </si>
  <si>
    <t>スクリーン名</t>
  </si>
  <si>
    <t>プロフィールURL</t>
  </si>
  <si>
    <t>フォロー数</t>
  </si>
  <si>
    <t>フォロワー数</t>
  </si>
  <si>
    <t>ツイート数</t>
  </si>
  <si>
    <t>追加された公開リスト数</t>
  </si>
  <si>
    <t>Twitter開始日</t>
  </si>
  <si>
    <t>自己紹介</t>
  </si>
  <si>
    <t>リンクURL</t>
  </si>
  <si>
    <t>ロケーション</t>
  </si>
  <si>
    <t>プロフィール画像URL</t>
  </si>
  <si>
    <t>現在のフォロー数</t>
    <rPh sb="0" eb="3">
      <t>ゲンザイ</t>
    </rPh>
    <rPh sb="7" eb="8">
      <t>スウ</t>
    </rPh>
    <phoneticPr fontId="3"/>
  </si>
  <si>
    <t>現在のフォロワー数</t>
    <rPh sb="0" eb="3">
      <t>ゲンザ</t>
    </rPh>
    <rPh sb="8" eb="9">
      <t>スウ</t>
    </rPh>
    <phoneticPr fontId="3"/>
  </si>
  <si>
    <t>現在のフォローリスト</t>
    <rPh sb="0" eb="2">
      <t>ゲンザイ</t>
    </rPh>
    <phoneticPr fontId="3"/>
  </si>
  <si>
    <t>現在のフォロワーリスト</t>
    <rPh sb="0" eb="2">
      <t>ゲンザイ</t>
    </rPh>
    <phoneticPr fontId="3"/>
  </si>
  <si>
    <t>前回のフォロワーリスト</t>
    <rPh sb="0" eb="2">
      <t>ゼンカイ</t>
    </rPh>
    <phoneticPr fontId="3"/>
  </si>
  <si>
    <t>前回のフォローリスト</t>
    <rPh sb="0" eb="2">
      <t>ゼンカイ</t>
    </rPh>
    <phoneticPr fontId="3"/>
  </si>
  <si>
    <t>フォローされた</t>
    <phoneticPr fontId="3"/>
  </si>
  <si>
    <t>フォローを解除された</t>
    <rPh sb="5" eb="7">
      <t>カイジョ</t>
    </rPh>
    <phoneticPr fontId="3"/>
  </si>
  <si>
    <t>フォローした</t>
    <phoneticPr fontId="3"/>
  </si>
  <si>
    <t>前回とのコンペア</t>
  </si>
  <si>
    <t>前回とのコンペア</t>
    <rPh sb="0" eb="2">
      <t>ゼンカイ</t>
    </rPh>
    <phoneticPr fontId="3"/>
  </si>
  <si>
    <t>前回とのコンペア</t>
    <phoneticPr fontId="3"/>
  </si>
  <si>
    <t>フォローを解除した</t>
    <rPh sb="5" eb="7">
      <t>カ</t>
    </rPh>
    <phoneticPr fontId="3"/>
  </si>
  <si>
    <t>前回のフォロワー数</t>
    <rPh sb="0" eb="2">
      <t>ゼンカイ</t>
    </rPh>
    <rPh sb="8" eb="9">
      <t>スウ</t>
    </rPh>
    <phoneticPr fontId="3"/>
  </si>
  <si>
    <t>前回のフォロー数</t>
    <rPh sb="0" eb="2">
      <t>ゼンカイ</t>
    </rPh>
    <rPh sb="7" eb="8">
      <t>スウ</t>
    </rPh>
    <phoneticPr fontId="3"/>
  </si>
  <si>
    <t>レポートログ</t>
    <phoneticPr fontId="3"/>
  </si>
  <si>
    <t>フォローを解除</t>
    <rPh sb="5" eb="7">
      <t>カイジョ</t>
    </rPh>
    <phoneticPr fontId="3"/>
  </si>
  <si>
    <t>フォローを解除された</t>
    <rPh sb="5" eb="10">
      <t>カイジョ</t>
    </rPh>
    <phoneticPr fontId="3"/>
  </si>
  <si>
    <t>フォロー数</t>
    <rPh sb="4" eb="5">
      <t>スウ</t>
    </rPh>
    <phoneticPr fontId="3"/>
  </si>
  <si>
    <t>フォロワー数</t>
    <rPh sb="5" eb="6">
      <t>スウ</t>
    </rPh>
    <phoneticPr fontId="3"/>
  </si>
  <si>
    <t>ID</t>
    <phoneticPr fontId="3"/>
  </si>
  <si>
    <t>コンペアレポート</t>
    <phoneticPr fontId="3"/>
  </si>
  <si>
    <t>プロフィール画像URL</t>
    <phoneticPr fontId="3"/>
  </si>
  <si>
    <t>プロフィール画像プレビュー</t>
    <phoneticPr fontId="3"/>
  </si>
  <si>
    <t>記録日付</t>
    <rPh sb="0" eb="2">
      <t>キロク</t>
    </rPh>
    <rPh sb="2" eb="4">
      <t>ヒヅケ</t>
    </rPh>
    <phoneticPr fontId="3"/>
  </si>
  <si>
    <t>重複件数</t>
    <rPh sb="0" eb="2">
      <t>チョウフク</t>
    </rPh>
    <rPh sb="2" eb="4">
      <t>ケンスウ</t>
    </rPh>
    <phoneticPr fontId="3"/>
  </si>
  <si>
    <t>ブロ解、凍結の可能性判定</t>
    <rPh sb="10" eb="12">
      <t>ハンテイ</t>
    </rPh>
    <phoneticPr fontId="3"/>
  </si>
  <si>
    <r>
      <t>記録時点の</t>
    </r>
    <r>
      <rPr>
        <sz val="11"/>
        <color rgb="FFFF0000"/>
        <rFont val="游ゴシック"/>
        <family val="3"/>
        <charset val="128"/>
        <scheme val="minor"/>
      </rPr>
      <t>同時</t>
    </r>
    <r>
      <rPr>
        <sz val="11"/>
        <color theme="1"/>
        <rFont val="游ゴシック"/>
        <family val="2"/>
        <charset val="128"/>
        <scheme val="minor"/>
      </rPr>
      <t>相互判定</t>
    </r>
    <rPh sb="0" eb="5">
      <t>キロク</t>
    </rPh>
    <rPh sb="5" eb="7">
      <t>ドウジ</t>
    </rPh>
    <rPh sb="7" eb="11">
      <t>ソウゴハ</t>
    </rPh>
    <phoneticPr fontId="3"/>
  </si>
  <si>
    <t>FF状態</t>
    <rPh sb="2" eb="4">
      <t>ジョウタイ</t>
    </rPh>
    <phoneticPr fontId="3"/>
  </si>
  <si>
    <t>FF関係</t>
    <rPh sb="2" eb="4">
      <t>カンケイ</t>
    </rPh>
    <phoneticPr fontId="3"/>
  </si>
  <si>
    <t>片思い</t>
    <rPh sb="0" eb="2">
      <t>カタオモ</t>
    </rPh>
    <phoneticPr fontId="3"/>
  </si>
  <si>
    <t>片思われ</t>
    <rPh sb="0" eb="1">
      <t>カタ</t>
    </rPh>
    <rPh sb="1" eb="2">
      <t>オモ</t>
    </rPh>
    <phoneticPr fontId="3"/>
  </si>
  <si>
    <t>記録時点の基本情報</t>
    <rPh sb="0" eb="5">
      <t>キロ</t>
    </rPh>
    <rPh sb="5" eb="9">
      <t>キホンジョウホウ</t>
    </rPh>
    <phoneticPr fontId="3"/>
  </si>
  <si>
    <t>FF比</t>
    <rPh sb="2" eb="3">
      <t>ヒ</t>
    </rPh>
    <phoneticPr fontId="3"/>
  </si>
  <si>
    <t>鍵垢</t>
  </si>
  <si>
    <t>認証済み</t>
  </si>
  <si>
    <t>認証タイプ</t>
  </si>
  <si>
    <t>リンク</t>
    <phoneticPr fontId="3"/>
  </si>
  <si>
    <t>設定画面</t>
    <rPh sb="0" eb="4">
      <t>セッテイ</t>
    </rPh>
    <phoneticPr fontId="3"/>
  </si>
  <si>
    <t>PowerQueryの設定に反映されます。</t>
    <rPh sb="11" eb="13">
      <t>セッテイ</t>
    </rPh>
    <rPh sb="14" eb="16">
      <t>ハンエイ</t>
    </rPh>
    <phoneticPr fontId="3"/>
  </si>
  <si>
    <t>プロパティ名</t>
    <phoneticPr fontId="3"/>
  </si>
  <si>
    <t>値</t>
    <rPh sb="0" eb="1">
      <t>アタイ</t>
    </rPh>
    <phoneticPr fontId="3"/>
  </si>
  <si>
    <t>FFリスト読み込み先</t>
    <rPh sb="5" eb="6">
      <t>ヨ</t>
    </rPh>
    <rPh sb="7" eb="8">
      <t>コ</t>
    </rPh>
    <rPh sb="9" eb="10">
      <t>サキ</t>
    </rPh>
    <phoneticPr fontId="3"/>
  </si>
  <si>
    <t>Twitterアカウント</t>
    <phoneticPr fontId="3"/>
  </si>
  <si>
    <t>設定画面ですが、VBAで自動設定されるので基本いじる必要はありません。</t>
    <rPh sb="0" eb="4">
      <t>セッテイガメ</t>
    </rPh>
    <rPh sb="12" eb="14">
      <t>ジドウ</t>
    </rPh>
    <rPh sb="14" eb="16">
      <t>セッテイ</t>
    </rPh>
    <rPh sb="21" eb="23">
      <t>キホン</t>
    </rPh>
    <rPh sb="26" eb="28">
      <t>ヒツヨウ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</si>
</sst>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0_);[Red]\(0\)"/>
    <numFmt numFmtId="178" formatCode="0.00_);[Red]\(0.00\)"/>
  </numFmts>
  <fonts count="12" x14ac:knownFonts="1">
    <font>
      <sz val="11"/>
      <color theme="1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2F2F2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/>
      <top/>
      <bottom style="thick">
        <color theme="4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5" fillId="0" borderId="6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5" applyNumberFormat="0" applyFill="0" applyAlignment="0" applyProtection="0">
      <alignment vertical="center"/>
    </xf>
    <xf numFmtId="0" fontId="8" fillId="3" borderId="17" applyNumberFormat="0" applyAlignment="0" applyProtection="0">
      <alignment vertical="center"/>
    </xf>
    <xf numFmtId="0" fontId="9" fillId="3" borderId="16" applyNumberFormat="0" applyAlignment="0" applyProtection="0">
      <alignment vertical="center"/>
    </xf>
  </cellStyleXfs>
  <cellXfs count="50">
    <xf numFmtId="0" fontId="0" fillId="0" borderId="0" xfId="0">
      <alignment vertical="center"/>
    </xf>
    <xf numFmtId="0" fontId="2" fillId="2" borderId="2" xfId="0" applyFont="1" applyFill="1" applyBorder="1">
      <alignment vertical="center"/>
    </xf>
    <xf numFmtId="0" fontId="1" fillId="2" borderId="1" xfId="1" applyFill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0" fillId="2" borderId="2" xfId="0" applyFill="1" applyBorder="1">
      <alignment vertical="center"/>
    </xf>
    <xf numFmtId="0" fontId="5" fillId="0" borderId="6" xfId="2">
      <alignment vertical="center"/>
    </xf>
    <xf numFmtId="0" fontId="1" fillId="0" borderId="1" xfId="1">
      <alignment vertical="center"/>
    </xf>
    <xf numFmtId="0" fontId="0" fillId="0" borderId="9" xfId="0" applyBorder="1">
      <alignment vertical="center"/>
    </xf>
    <xf numFmtId="0" fontId="0" fillId="0" borderId="8" xfId="0" applyBorder="1">
      <alignment vertical="center"/>
    </xf>
    <xf numFmtId="0" fontId="0" fillId="0" borderId="7" xfId="0" applyBorder="1">
      <alignment vertical="center"/>
    </xf>
    <xf numFmtId="0" fontId="0" fillId="2" borderId="4" xfId="0" applyFill="1" applyBorder="1">
      <alignment vertical="center"/>
    </xf>
    <xf numFmtId="0" fontId="2" fillId="0" borderId="7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0" fontId="2" fillId="0" borderId="11" xfId="0" applyFont="1" applyBorder="1">
      <alignment vertical="center"/>
    </xf>
    <xf numFmtId="0" fontId="4" fillId="0" borderId="12" xfId="0" applyFont="1" applyBorder="1">
      <alignment vertical="center"/>
    </xf>
    <xf numFmtId="0" fontId="4" fillId="0" borderId="10" xfId="0" applyFont="1" applyBorder="1">
      <alignment vertical="center"/>
    </xf>
    <xf numFmtId="0" fontId="2" fillId="0" borderId="12" xfId="0" applyFont="1" applyBorder="1">
      <alignment vertical="center"/>
    </xf>
    <xf numFmtId="0" fontId="6" fillId="0" borderId="0" xfId="3">
      <alignment vertical="center"/>
    </xf>
    <xf numFmtId="22" fontId="5" fillId="0" borderId="6" xfId="2" applyNumberFormat="1">
      <alignment vertical="center"/>
    </xf>
    <xf numFmtId="0" fontId="2" fillId="2" borderId="13" xfId="0" applyFont="1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2" fillId="0" borderId="0" xfId="0" applyFont="1">
      <alignment vertical="center"/>
    </xf>
    <xf numFmtId="0" fontId="2" fillId="0" borderId="10" xfId="0" applyFont="1" applyBorder="1">
      <alignment vertical="center"/>
    </xf>
    <xf numFmtId="0" fontId="2" fillId="2" borderId="14" xfId="0" applyFont="1" applyFill="1" applyBorder="1">
      <alignment vertical="center"/>
    </xf>
    <xf numFmtId="0" fontId="2" fillId="0" borderId="8" xfId="0" applyFont="1" applyBorder="1">
      <alignment vertical="center"/>
    </xf>
    <xf numFmtId="0" fontId="7" fillId="0" borderId="0" xfId="4" applyBorder="1">
      <alignment vertical="center"/>
    </xf>
    <xf numFmtId="0" fontId="7" fillId="0" borderId="15" xfId="4" applyAlignment="1">
      <alignment horizontal="left" vertical="center"/>
    </xf>
    <xf numFmtId="0" fontId="8" fillId="3" borderId="18" xfId="5" applyBorder="1">
      <alignment vertical="center"/>
    </xf>
    <xf numFmtId="0" fontId="8" fillId="3" borderId="19" xfId="5" applyBorder="1">
      <alignment vertical="center"/>
    </xf>
    <xf numFmtId="0" fontId="9" fillId="3" borderId="21" xfId="6" applyBorder="1">
      <alignment vertical="center"/>
    </xf>
    <xf numFmtId="0" fontId="9" fillId="3" borderId="22" xfId="6" applyBorder="1">
      <alignment vertical="center"/>
    </xf>
    <xf numFmtId="0" fontId="9" fillId="3" borderId="23" xfId="6" applyBorder="1">
      <alignment vertical="center"/>
    </xf>
    <xf numFmtId="0" fontId="8" fillId="3" borderId="20" xfId="5" applyBorder="1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7" fontId="0" fillId="0" borderId="0" xfId="0" applyNumberFormat="1">
      <alignment vertical="center"/>
    </xf>
    <xf numFmtId="0" fontId="6" fillId="0" borderId="0" xfId="3" applyFill="1" applyBorder="1">
      <alignment vertical="center"/>
    </xf>
    <xf numFmtId="0" fontId="1" fillId="0" borderId="1" xfId="1" applyFill="1">
      <alignment vertical="center"/>
    </xf>
    <xf numFmtId="22" fontId="1" fillId="0" borderId="1" xfId="1" applyNumberFormat="1" applyFill="1">
      <alignment vertical="center"/>
    </xf>
    <xf numFmtId="0" fontId="0" fillId="0" borderId="0" xfId="0" applyAlignment="1"/>
    <xf numFmtId="0" fontId="4" fillId="0" borderId="0" xfId="0" applyFont="1">
      <alignment vertical="center"/>
    </xf>
    <xf numFmtId="178" fontId="8" fillId="3" borderId="20" xfId="5" applyNumberFormat="1" applyBorder="1" applyAlignment="1">
      <alignment horizontal="right" vertical="center"/>
    </xf>
  </cellXfs>
  <cellStyles count="7">
    <cellStyle name="ハイパーリンク" xfId="3" builtinId="8"/>
    <cellStyle name="計算" xfId="6" builtinId="22"/>
    <cellStyle name="見出し 1" xfId="2" builtinId="16"/>
    <cellStyle name="見出し 2" xfId="1" builtinId="17"/>
    <cellStyle name="見出し 3" xfId="4" builtinId="18"/>
    <cellStyle name="出力" xfId="5" builtinId="21"/>
    <cellStyle name="標準" xfId="0" builtinId="0"/>
  </cellStyles>
  <dxfs count="73">
    <dxf>
      <border outline="0">
        <top style="thin">
          <color theme="1" tint="0.34998626667073579"/>
        </top>
      </border>
    </dxf>
    <dxf>
      <border outline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 tint="0.34998626667073579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1" tint="0.34998626667073579"/>
        </left>
        <right style="thin">
          <color theme="1" tint="0.34998626667073579"/>
        </right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1" tint="0.34998626667073579"/>
        </left>
        <right style="thin">
          <color theme="1" tint="0.3499862666707357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border outline="0">
        <top style="thin">
          <color theme="1" tint="0.34998626667073579"/>
        </top>
      </border>
    </dxf>
    <dxf>
      <border outline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1" tint="0.34998626667073579"/>
        </left>
        <right style="thin">
          <color theme="1" tint="0.3499862666707357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numFmt numFmtId="177" formatCode="0_);[Red]\(0\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numFmt numFmtId="176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  <dxf>
      <font>
        <color rgb="FF9C0006"/>
      </font>
    </dxf>
    <dxf>
      <font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9525</xdr:rowOff>
        </xdr:from>
        <xdr:to>
          <xdr:col>0</xdr:col>
          <xdr:colOff>1800225</xdr:colOff>
          <xdr:row>12</xdr:row>
          <xdr:rowOff>228600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FF情報を取得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238125</xdr:rowOff>
        </xdr:from>
        <xdr:to>
          <xdr:col>6</xdr:col>
          <xdr:colOff>0</xdr:colOff>
          <xdr:row>12</xdr:row>
          <xdr:rowOff>200025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データを更新する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28575</xdr:colOff>
      <xdr:row>0</xdr:row>
      <xdr:rowOff>47625</xdr:rowOff>
    </xdr:from>
    <xdr:to>
      <xdr:col>8</xdr:col>
      <xdr:colOff>371475</xdr:colOff>
      <xdr:row>1</xdr:row>
      <xdr:rowOff>76200</xdr:rowOff>
    </xdr:to>
    <xdr:sp macro="" textlink="">
      <xdr:nvSpPr>
        <xdr:cNvPr id="1034" name="CheckBox1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38100</xdr:rowOff>
        </xdr:from>
        <xdr:to>
          <xdr:col>8</xdr:col>
          <xdr:colOff>714375</xdr:colOff>
          <xdr:row>1</xdr:row>
          <xdr:rowOff>219075</xdr:rowOff>
        </xdr:to>
        <xdr:sp macro="" textlink="">
          <xdr:nvSpPr>
            <xdr:cNvPr id="2" name="Check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428625</xdr:colOff>
          <xdr:row>3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ログを取る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7" xr16:uid="{00000000-0016-0000-0000-000000000000}" autoFormatId="20" applyNumberFormats="0" applyBorderFormats="0" applyFontFormats="0" applyPatternFormats="0" applyAlignmentFormats="0" applyWidthHeightFormats="0">
  <queryTableRefresh nextId="9" unboundColumnsRight="1">
    <queryTableFields count="6">
      <queryTableField id="1" name="ID" tableColumnId="1"/>
      <queryTableField id="2" name="名前" tableColumnId="2"/>
      <queryTableField id="3" name="スクリーン名" tableColumnId="3"/>
      <queryTableField id="4" name="プロフィール画像URL" tableColumnId="4"/>
      <queryTableField id="5" name="前回とのコンペア" tableColumnId="5"/>
      <queryTableField id="8" dataBound="0" tableColumnId="6"/>
    </queryTableFields>
    <queryTableDeletedFields count="1">
      <deletedField name="相互関係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3" xr16:uid="{00000000-0016-0000-0000-000001000000}" autoFormatId="20" applyNumberFormats="0" applyBorderFormats="0" applyFontFormats="0" applyPatternFormats="0" applyAlignmentFormats="0" applyWidthHeightFormats="0">
  <queryTableRefresh nextId="9" unboundColumnsRight="1">
    <queryTableFields count="6">
      <queryTableField id="1" name="ID" tableColumnId="1"/>
      <queryTableField id="2" name="名前" tableColumnId="2"/>
      <queryTableField id="3" name="スクリーン名" tableColumnId="3"/>
      <queryTableField id="4" name="プロフィール画像URL" tableColumnId="4"/>
      <queryTableField id="5" name="前回とのコンペア" tableColumnId="5"/>
      <queryTableField id="8" dataBound="0" tableColumnId="6"/>
    </queryTableFields>
    <queryTableDeletedFields count="2">
      <deletedField name="ブロ解の可能性"/>
      <deletedField name="ブロ解、凍結の可能性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8" xr16:uid="{00000000-0016-0000-0000-000002000000}" autoFormatId="20" applyNumberFormats="0" applyBorderFormats="0" applyFontFormats="0" applyPatternFormats="0" applyAlignmentFormats="0" applyWidthHeightFormats="0">
  <queryTableRefresh nextId="8" unboundColumnsRight="1">
    <queryTableFields count="6">
      <queryTableField id="1" name="ID" tableColumnId="1"/>
      <queryTableField id="2" name="名前" tableColumnId="2"/>
      <queryTableField id="3" name="スクリーン名" tableColumnId="3"/>
      <queryTableField id="4" name="プロフィール画像URL" tableColumnId="4"/>
      <queryTableField id="5" name="前回とのコンペア" tableColumnId="5"/>
      <queryTableField id="6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4" xr16:uid="{00000000-0016-0000-0000-000003000000}" autoFormatId="20" applyNumberFormats="0" applyBorderFormats="0" applyFontFormats="0" applyPatternFormats="0" applyAlignmentFormats="0" applyWidthHeightFormats="0">
  <queryTableRefresh nextId="7" unboundColumnsRight="1">
    <queryTableFields count="6">
      <queryTableField id="1" name="ID" tableColumnId="1"/>
      <queryTableField id="2" name="名前" tableColumnId="2"/>
      <queryTableField id="3" name="スクリーン名" tableColumnId="3"/>
      <queryTableField id="4" name="プロフィール画像URL" tableColumnId="4"/>
      <queryTableField id="5" name="前回とのコンペア" tableColumnId="5"/>
      <queryTableField id="6" dataBound="0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5" xr16:uid="{00000000-0016-0000-0200-000004000000}" autoFormatId="20" applyNumberFormats="0" applyBorderFormats="0" applyFontFormats="0" applyPatternFormats="0" applyAlignmentFormats="0" applyWidthHeightFormats="0">
  <queryTableRefresh nextId="34" unboundColumnsRight="2">
    <queryTableFields count="18">
      <queryTableField id="1" name="ID" tableColumnId="1"/>
      <queryTableField id="2" name="名前" tableColumnId="2"/>
      <queryTableField id="3" name="スクリーン名" tableColumnId="3"/>
      <queryTableField id="4" name="プロフィールURL" tableColumnId="4"/>
      <queryTableField id="5" name="フォロー数" tableColumnId="5"/>
      <queryTableField id="6" name="フォロワー数" tableColumnId="6"/>
      <queryTableField id="7" name="ツイート数" tableColumnId="7"/>
      <queryTableField id="9" name="追加された公開リスト数" tableColumnId="9"/>
      <queryTableField id="10" name="Twitter開始日" tableColumnId="10"/>
      <queryTableField id="11" name="自己紹介" tableColumnId="11"/>
      <queryTableField id="12" name="リンクURL" tableColumnId="12"/>
      <queryTableField id="13" name="ロケーション" tableColumnId="13"/>
      <queryTableField id="24" name="鍵垢" tableColumnId="8"/>
      <queryTableField id="25" name="認証済み" tableColumnId="14"/>
      <queryTableField id="26" name="認証タイプ" tableColumnId="15"/>
      <queryTableField id="18" name="プロフィール画像URL" tableColumnId="18"/>
      <queryTableField id="19" dataBound="0" tableColumnId="19"/>
      <queryTableField id="22" dataBound="0" tableColumnId="20"/>
    </queryTableFields>
    <queryTableDeletedFields count="2">
      <deletedField name="Column1"/>
      <deletedField name="_1"/>
    </queryTableDeleted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6" xr16:uid="{00000000-0016-0000-0300-000005000000}" autoFormatId="20" applyNumberFormats="0" applyBorderFormats="0" applyFontFormats="0" applyPatternFormats="0" applyAlignmentFormats="0" applyWidthHeightFormats="0">
  <queryTableRefresh nextId="33" unboundColumnsRight="2">
    <queryTableFields count="18">
      <queryTableField id="1" name="ID" tableColumnId="1"/>
      <queryTableField id="2" name="名前" tableColumnId="2"/>
      <queryTableField id="3" name="スクリーン名" tableColumnId="3"/>
      <queryTableField id="4" name="プロフィールURL" tableColumnId="4"/>
      <queryTableField id="5" name="フォロー数" tableColumnId="5"/>
      <queryTableField id="6" name="フォロワー数" tableColumnId="6"/>
      <queryTableField id="7" name="ツイート数" tableColumnId="7"/>
      <queryTableField id="9" name="追加された公開リスト数" tableColumnId="9"/>
      <queryTableField id="10" name="Twitter開始日" tableColumnId="10"/>
      <queryTableField id="11" name="自己紹介" tableColumnId="11"/>
      <queryTableField id="12" name="リンクURL" tableColumnId="12"/>
      <queryTableField id="13" name="ロケーション" tableColumnId="13"/>
      <queryTableField id="23" name="鍵垢" tableColumnId="8"/>
      <queryTableField id="24" name="認証済み" tableColumnId="14"/>
      <queryTableField id="25" name="認証タイプ" tableColumnId="15"/>
      <queryTableField id="18" name="プロフィール画像URL" tableColumnId="18"/>
      <queryTableField id="19" dataBound="0" tableColumnId="19"/>
      <queryTableField id="22" dataBound="0" tableColumnId="20"/>
    </queryTableFields>
    <queryTableDeletedFields count="2">
      <deletedField name="Column1"/>
      <deletedField name="_1"/>
    </queryTableDeleted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00000000-0016-0000-0400-000006000000}" autoFormatId="20" applyNumberFormats="0" applyBorderFormats="0" applyFontFormats="0" applyPatternFormats="0" applyAlignmentFormats="0" applyWidthHeightFormats="0">
  <queryTableRefresh nextId="31" unboundColumnsRight="1">
    <queryTableFields count="17">
      <queryTableField id="1" name="ID" tableColumnId="1"/>
      <queryTableField id="2" name="名前" tableColumnId="2"/>
      <queryTableField id="3" name="スクリーン名" tableColumnId="3"/>
      <queryTableField id="4" name="プロフィールURL" tableColumnId="4"/>
      <queryTableField id="5" name="フォロー数" tableColumnId="5"/>
      <queryTableField id="6" name="フォロワー数" tableColumnId="6"/>
      <queryTableField id="7" name="ツイート数" tableColumnId="7"/>
      <queryTableField id="9" name="追加された公開リスト数" tableColumnId="9"/>
      <queryTableField id="10" name="Twitter開始日" tableColumnId="10"/>
      <queryTableField id="11" name="自己紹介" tableColumnId="11"/>
      <queryTableField id="12" name="リンクURL" tableColumnId="12"/>
      <queryTableField id="13" name="ロケーション" tableColumnId="13"/>
      <queryTableField id="23" name="鍵垢" tableColumnId="8"/>
      <queryTableField id="24" name="認証済み" tableColumnId="14"/>
      <queryTableField id="25" name="認証タイプ" tableColumnId="15"/>
      <queryTableField id="18" name="プロフィール画像URL" tableColumnId="18"/>
      <queryTableField id="19" dataBound="0" tableColumnId="19"/>
    </queryTableFields>
    <queryTableDeletedFields count="2">
      <deletedField name="Column1"/>
      <deletedField name="_1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00000000-0016-0000-0500-000007000000}" autoFormatId="20" applyNumberFormats="0" applyBorderFormats="0" applyFontFormats="0" applyPatternFormats="0" applyAlignmentFormats="0" applyWidthHeightFormats="0">
  <queryTableRefresh nextId="30" unboundColumnsRight="1">
    <queryTableFields count="17">
      <queryTableField id="1" name="ID" tableColumnId="1"/>
      <queryTableField id="2" name="名前" tableColumnId="2"/>
      <queryTableField id="3" name="スクリーン名" tableColumnId="3"/>
      <queryTableField id="4" name="プロフィールURL" tableColumnId="4"/>
      <queryTableField id="5" name="フォロー数" tableColumnId="5"/>
      <queryTableField id="6" name="フォロワー数" tableColumnId="6"/>
      <queryTableField id="7" name="ツイート数" tableColumnId="7"/>
      <queryTableField id="9" name="追加された公開リスト数" tableColumnId="9"/>
      <queryTableField id="10" name="Twitter開始日" tableColumnId="10"/>
      <queryTableField id="11" name="自己紹介" tableColumnId="11"/>
      <queryTableField id="12" name="リンクURL" tableColumnId="12"/>
      <queryTableField id="13" name="ロケーション" tableColumnId="13"/>
      <queryTableField id="22" name="鍵垢" tableColumnId="8"/>
      <queryTableField id="23" name="認証済み" tableColumnId="14"/>
      <queryTableField id="24" name="認証タイプ" tableColumnId="15"/>
      <queryTableField id="18" name="プロフィール画像URL" tableColumnId="18"/>
      <queryTableField id="19" dataBound="0" tableColumnId="19"/>
    </queryTableFields>
    <queryTableDeletedFields count="2">
      <deletedField name="Column1"/>
      <deletedField name="_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817E8D-CBCF-4D98-B2E4-6D0735162DE9}" name="newFollow" displayName="newFollow" ref="A17:F18" tableType="queryTable" insertRow="1" totalsRowShown="0">
  <autoFilter ref="A17:F18" xr:uid="{89817E8D-CBCF-4D98-B2E4-6D0735162DE9}"/>
  <tableColumns count="6">
    <tableColumn id="1" xr3:uid="{6DACF6DE-2071-443F-A5C7-F7AEF050891B}" uniqueName="1" name="ID" queryTableFieldId="1"/>
    <tableColumn id="2" xr3:uid="{9B7786F6-2D91-4754-9977-F82FD56DCAF0}" uniqueName="2" name="名前" queryTableFieldId="2"/>
    <tableColumn id="3" xr3:uid="{92634A71-68D8-4F09-BDE4-CC0716EB6FF3}" uniqueName="3" name="スクリーン名" queryTableFieldId="3"/>
    <tableColumn id="4" xr3:uid="{12CF359B-063F-455D-9E7A-9167D43862B4}" uniqueName="4" name="プロフィール画像URL" queryTableFieldId="4"/>
    <tableColumn id="5" xr3:uid="{05F2633E-BFBC-4342-AA21-014A845580A1}" uniqueName="5" name="前回とのコンペア" queryTableFieldId="5"/>
    <tableColumn id="6" xr3:uid="{8EF461C4-BD79-4FD0-9C75-88E6C9732BFA}" uniqueName="6" name="記録時点の同時相互判定" queryTableFieldId="8">
      <calculatedColumnFormula>_xlfn.XLOOKUP(newFollow[[#This Row],[ID]],newFollower[ID],newFollower[前回とのコンペア],"No")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52E03B-654C-44F4-9C23-650F4F957768}" name="deleteFollow" displayName="deleteFollow" ref="H17:M18" tableType="queryTable" insertRow="1" totalsRowShown="0">
  <autoFilter ref="H17:M18" xr:uid="{5752E03B-654C-44F4-9C23-650F4F957768}"/>
  <tableColumns count="6">
    <tableColumn id="1" xr3:uid="{559987EC-8CE6-4C03-85EE-B2BCD0D28503}" uniqueName="1" name="ID" queryTableFieldId="1"/>
    <tableColumn id="2" xr3:uid="{3984C362-07E7-45DD-900A-0739FE458D33}" uniqueName="2" name="名前" queryTableFieldId="2"/>
    <tableColumn id="3" xr3:uid="{7DFE4B14-6872-4940-98BD-8EBC82717D6C}" uniqueName="3" name="スクリーン名" queryTableFieldId="3"/>
    <tableColumn id="4" xr3:uid="{90CB0954-970B-403F-BABE-90CF74698F44}" uniqueName="4" name="プロフィール画像URL" queryTableFieldId="4"/>
    <tableColumn id="5" xr3:uid="{51944E84-C56A-4685-9B06-FADBE16D7A71}" uniqueName="5" name="前回とのコンペア" queryTableFieldId="5"/>
    <tableColumn id="6" xr3:uid="{B65052B1-12DE-45EE-B6C0-6553E2434852}" uniqueName="6" name="ブロ解、凍結の可能性判定" queryTableFieldId="8">
      <calculatedColumnFormula>_xlfn.XLOOKUP(deleteFollow[[#This Row],[ID]],deleteFollower[ID],deleteFollower[前回とのコンペア],"No")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8025189-443A-40D8-85B9-53A804A7B09B}" name="newFollower" displayName="newFollower" ref="O17:T18" tableType="queryTable" insertRow="1" totalsRowShown="0">
  <autoFilter ref="O17:T18" xr:uid="{68025189-443A-40D8-85B9-53A804A7B09B}"/>
  <tableColumns count="6">
    <tableColumn id="1" xr3:uid="{2C0FE4AA-D894-479C-8444-4C8AA824D237}" uniqueName="1" name="ID" queryTableFieldId="1"/>
    <tableColumn id="2" xr3:uid="{ECB527D9-E427-4E67-A8DD-F7617C69500A}" uniqueName="2" name="名前" queryTableFieldId="2"/>
    <tableColumn id="3" xr3:uid="{C7816677-94C1-4100-B69D-E204E9D50BFC}" uniqueName="3" name="スクリーン名" queryTableFieldId="3"/>
    <tableColumn id="4" xr3:uid="{C2DFFE23-9C46-4616-AC64-FF4FC3768D3A}" uniqueName="4" name="プロフィール画像URL" queryTableFieldId="4"/>
    <tableColumn id="5" xr3:uid="{12191383-50CD-47FB-B920-D5D70A6EEF9A}" uniqueName="5" name="前回とのコンペア" queryTableFieldId="5"/>
    <tableColumn id="6" xr3:uid="{FB0F97C6-8987-4888-832B-B007D56DF993}" uniqueName="6" name="記録時点の同時相互判定" queryTableFieldId="6">
      <calculatedColumnFormula>_xlfn.XLOOKUP(newFollower[[#This Row],[ID]],newFollow[ID],newFollow[前回とのコンペア],"No")</calculatedColumnFormula>
    </tableColumn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136B5D-6C94-4B85-B3BA-E9D2CDCCDDDD}" name="deleteFollower" displayName="deleteFollower" ref="V17:AA18" tableType="queryTable" insertRow="1" totalsRowShown="0">
  <autoFilter ref="V17:AA18" xr:uid="{44136B5D-6C94-4B85-B3BA-E9D2CDCCDDDD}"/>
  <tableColumns count="6">
    <tableColumn id="1" xr3:uid="{035C19C3-C508-4601-A484-9E8CD91FD8C3}" uniqueName="1" name="ID" queryTableFieldId="1"/>
    <tableColumn id="2" xr3:uid="{7B334464-ED6F-4859-AE95-78E7BC8CBD29}" uniqueName="2" name="名前" queryTableFieldId="2"/>
    <tableColumn id="3" xr3:uid="{E5368FA1-EC8E-4523-BB4D-5A0AEA020FA9}" uniqueName="3" name="スクリーン名" queryTableFieldId="3"/>
    <tableColumn id="4" xr3:uid="{5E7AD971-9AC9-4E5E-AC63-8388FBF09340}" uniqueName="4" name="プロフィール画像URL" queryTableFieldId="4"/>
    <tableColumn id="5" xr3:uid="{EED84A44-D7BB-4F0A-8E8C-4F7B580C63D3}" uniqueName="5" name="前回とのコンペア" queryTableFieldId="5"/>
    <tableColumn id="6" xr3:uid="{B4F97108-ED2A-4B3F-8284-A1C17B055E72}" uniqueName="6" name="ブロ解、凍結の可能性判定" queryTableFieldId="6">
      <calculatedColumnFormula>_xlfn.XLOOKUP(deleteFollower[[#This Row],[ID]],deleteFollow[ID],deleteFollow[前回とのコンペア],"No")</calculatedColumnFormula>
    </tableColumn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C8E17E-DB8D-47E2-8599-A80BC1121493}" name="ReportLog" displayName="ReportLog" ref="A6:N7" insertRow="1" totalsRowShown="0" headerRowDxfId="68" dataDxfId="67">
  <autoFilter ref="A6:N7" xr:uid="{510733F5-1AA8-4665-98A2-55613697BF3C}"/>
  <tableColumns count="14">
    <tableColumn id="1" xr3:uid="{3CA40BA3-0866-4F0D-808D-D161042DEEC4}" name="記録日付" dataDxfId="66"/>
    <tableColumn id="2" xr3:uid="{A5F32DDE-C571-4DBE-9B77-288E5E96D656}" name="ID" dataDxfId="65"/>
    <tableColumn id="3" xr3:uid="{29F5D47E-F089-49E6-ABD9-9CF9FB539EF5}" name="名前" dataDxfId="64"/>
    <tableColumn id="4" xr3:uid="{C9939B0B-B063-4427-97AB-916BCB8B8CC0}" name="スクリーン名" dataDxfId="63"/>
    <tableColumn id="5" xr3:uid="{06023265-A2B7-4FD0-9452-494EE325D244}" name="フォローした" dataDxfId="62"/>
    <tableColumn id="6" xr3:uid="{0CA2DFE1-52D0-46BE-93B3-EA16CADCDB71}" name="フォローを解除" dataDxfId="61"/>
    <tableColumn id="7" xr3:uid="{D18FF77A-F86E-449C-9F0C-140750A8B547}" name="フォローされた" dataDxfId="60"/>
    <tableColumn id="8" xr3:uid="{496BE4B8-20DD-4EDB-9E7D-534FE75B6FFF}" name="フォローを解除された" dataDxfId="59"/>
    <tableColumn id="9" xr3:uid="{F4F3DC99-4272-4797-B856-36E648175314}" name="フォロー数" dataDxfId="58"/>
    <tableColumn id="10" xr3:uid="{71916B56-6E3C-409B-B7A1-73495F8903FF}" name="フォロワー数" dataDxfId="57"/>
    <tableColumn id="11" xr3:uid="{33CCBCA7-F15E-4698-8BE1-869FC0BD9173}" name="プロフィール画像URL" dataDxfId="56"/>
    <tableColumn id="12" xr3:uid="{7F5155D4-2B32-4B30-AC0D-4E20E3919826}" name="プロフィール画像プレビュー" dataDxfId="55">
      <calculatedColumnFormula>IFERROR(_xlfn.IMAGE(SUBSTITUTE(ReportLog[[#This Row],[プロフィール画像URL]],"normal","400x400"),ReportLog[[#This Row],[名前]]&amp;"さんのtwitterプロフィール画像です。",0),"削除されたか、"&amp;CHAR(10)&amp;"凍結されたアカウントです")</calculatedColumnFormula>
    </tableColumn>
    <tableColumn id="13" xr3:uid="{4DED37C4-27CA-4308-825E-31F7B3FBA1FE}" name="重複件数" dataDxfId="54">
      <calculatedColumnFormula>COUNTIF(ReportLog[ID],ReportLog[[#This Row],[ID]])-1</calculatedColumnFormula>
    </tableColumn>
    <tableColumn id="14" xr3:uid="{70093097-3932-4B6B-A770-0559FDA24A31}" name="リンク" dataDxfId="53" dataCellStyle="ハイパーリンク">
      <calculatedColumnFormula>HYPERLINK("https://twitter.com/intent/user?user_id=" &amp; ReportLog[[#This Row],[ID]],"OPEN")</calculatedColumnFormula>
    </tableColumn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98255E8-B6E0-4FC9-BCBD-88941122BC32}" name="follow" displayName="follow" ref="A5:R6" tableType="queryTable" insertRow="1" totalsRowShown="0" headerRowDxfId="52" dataDxfId="50" headerRowBorderDxfId="51" tableBorderDxfId="49" totalsRowBorderDxfId="48">
  <autoFilter ref="A5:R6" xr:uid="{B98255E8-B6E0-4FC9-BCBD-88941122BC32}"/>
  <tableColumns count="18">
    <tableColumn id="1" xr3:uid="{D732D254-ED03-4A1D-A3D7-F7CD1C56BFF9}" uniqueName="1" name="ID" queryTableFieldId="1" dataDxfId="47"/>
    <tableColumn id="2" xr3:uid="{08AA3BB3-8A4B-4244-AAA7-36C4C419B0B2}" uniqueName="2" name="名前" queryTableFieldId="2" dataDxfId="46"/>
    <tableColumn id="3" xr3:uid="{4E8C4ADF-893F-4E92-8122-D601DD80BB60}" uniqueName="3" name="スクリーン名" queryTableFieldId="3" dataDxfId="45"/>
    <tableColumn id="4" xr3:uid="{A6D3340B-5EBA-433F-BEFE-07BC8990E09C}" uniqueName="4" name="プロフィールURL" queryTableFieldId="4" dataDxfId="44"/>
    <tableColumn id="5" xr3:uid="{5227062E-4455-4E02-BD09-8D4B56D499D3}" uniqueName="5" name="フォロー数" queryTableFieldId="5" dataDxfId="43"/>
    <tableColumn id="6" xr3:uid="{023F0BCA-B04B-4AD0-8B67-350D767F3F05}" uniqueName="6" name="フォロワー数" queryTableFieldId="6" dataDxfId="42"/>
    <tableColumn id="7" xr3:uid="{B150269C-24C0-4F04-AB69-A327CE0BCC92}" uniqueName="7" name="ツイート数" queryTableFieldId="7" dataDxfId="41"/>
    <tableColumn id="9" xr3:uid="{0DBC03B8-09B8-4025-921A-B040F19D323F}" uniqueName="9" name="追加された公開リスト数" queryTableFieldId="9" dataDxfId="40"/>
    <tableColumn id="10" xr3:uid="{5E82541F-ABEE-48B5-B867-8EB0466924CD}" uniqueName="10" name="Twitter開始日" queryTableFieldId="10" dataDxfId="39"/>
    <tableColumn id="11" xr3:uid="{998E1B5C-DAF2-4931-81C4-C27B93841426}" uniqueName="11" name="自己紹介" queryTableFieldId="11" dataDxfId="38"/>
    <tableColumn id="12" xr3:uid="{A86DC9F8-22C8-4A02-BC3D-E403121E35B1}" uniqueName="12" name="リンクURL" queryTableFieldId="12" dataDxfId="37"/>
    <tableColumn id="13" xr3:uid="{A16A2A0D-3E44-4817-A538-DC06503DA1B9}" uniqueName="13" name="ロケーション" queryTableFieldId="13" dataDxfId="36"/>
    <tableColumn id="8" xr3:uid="{D98CFF50-F5E9-498C-9B43-CD6BF5118B08}" uniqueName="8" name="鍵垢" queryTableFieldId="24" dataDxfId="35"/>
    <tableColumn id="14" xr3:uid="{07753428-33EC-4D73-9150-D385AA07DD8B}" uniqueName="14" name="認証済み" queryTableFieldId="25" dataDxfId="34"/>
    <tableColumn id="15" xr3:uid="{13905A4D-20F6-46A6-9E7A-ABB9920C769A}" uniqueName="15" name="認証タイプ" queryTableFieldId="26" dataDxfId="33"/>
    <tableColumn id="18" xr3:uid="{E23F9648-57B6-42D2-A171-E5B9E7067D5C}" uniqueName="18" name="プロフィール画像URL" queryTableFieldId="18" dataDxfId="32"/>
    <tableColumn id="19" xr3:uid="{0B59BD9B-334E-450D-A067-44F4872E3FA7}" uniqueName="19" name="前回とのコンペア" queryTableFieldId="19" dataDxfId="31">
      <calculatedColumnFormula>SUBSTITUTE(_xlfn.XLOOKUP(follow[[#This Row],[ID]],before_follow[ID],before_follow[ID],"フォローした",0,1),follow[[#This Row],[ID]],"変化なし")</calculatedColumnFormula>
    </tableColumn>
    <tableColumn id="20" xr3:uid="{2E917039-0860-409E-8EAB-45D06AB0C5EE}" uniqueName="20" name="FF状態" queryTableFieldId="22" dataDxfId="30">
      <calculatedColumnFormula>SUBSTITUTE(_xlfn.XLOOKUP(follow[[#This Row],[ID]],follower[ID],follower[ID],"片思い",0,1),follow[[#This Row],[ID]],"FF関係")</calculatedColumnFormula>
    </tableColumn>
  </tableColumns>
  <tableStyleInfo name="TableStyleDark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056D3E0-734C-43FB-8377-4D82DD902D81}" name="follower" displayName="follower" ref="A5:R6" tableType="queryTable" insertRow="1" totalsRowShown="0" headerRowDxfId="29" dataDxfId="27" headerRowBorderDxfId="28" tableBorderDxfId="26" totalsRowBorderDxfId="25">
  <autoFilter ref="A5:R6" xr:uid="{C056D3E0-734C-43FB-8377-4D82DD902D81}"/>
  <tableColumns count="18">
    <tableColumn id="1" xr3:uid="{CDEB0B89-5F13-482D-BC7B-971CA5706DC9}" uniqueName="1" name="ID" queryTableFieldId="1" dataDxfId="24"/>
    <tableColumn id="2" xr3:uid="{BCE88C42-5119-402F-B53D-5F9CF2F2DAA9}" uniqueName="2" name="名前" queryTableFieldId="2" dataDxfId="23"/>
    <tableColumn id="3" xr3:uid="{1F5F11C7-3CDB-4703-B8B7-A525767A97B0}" uniqueName="3" name="スクリーン名" queryTableFieldId="3" dataDxfId="22"/>
    <tableColumn id="4" xr3:uid="{E942353B-B42B-4091-AB3E-93957C84DCF7}" uniqueName="4" name="プロフィールURL" queryTableFieldId="4" dataDxfId="21"/>
    <tableColumn id="5" xr3:uid="{D63F6614-4A1A-4110-A021-B98B07F723AF}" uniqueName="5" name="フォロー数" queryTableFieldId="5" dataDxfId="20"/>
    <tableColumn id="6" xr3:uid="{36BF7A9B-CC37-411B-A610-207C711942D0}" uniqueName="6" name="フォロワー数" queryTableFieldId="6" dataDxfId="19"/>
    <tableColumn id="7" xr3:uid="{45B6F4AE-03AD-4ECC-9798-5B92B7B53C50}" uniqueName="7" name="ツイート数" queryTableFieldId="7" dataDxfId="18"/>
    <tableColumn id="9" xr3:uid="{C1455170-78B1-42CA-813B-927D3E278E82}" uniqueName="9" name="追加された公開リスト数" queryTableFieldId="9" dataDxfId="17"/>
    <tableColumn id="10" xr3:uid="{F10416A4-340D-468A-AB4E-2FAAA91F4F3A}" uniqueName="10" name="Twitter開始日" queryTableFieldId="10" dataDxfId="16"/>
    <tableColumn id="11" xr3:uid="{2FB99DE1-955B-4B02-9A8D-4D0D9DA5F074}" uniqueName="11" name="自己紹介" queryTableFieldId="11" dataDxfId="15"/>
    <tableColumn id="12" xr3:uid="{BC4216C2-7CBB-4151-AC1F-DFF22B81112D}" uniqueName="12" name="リンクURL" queryTableFieldId="12" dataDxfId="14"/>
    <tableColumn id="13" xr3:uid="{CDF4F6B1-43EC-4AFD-A42A-D1C81A10CD72}" uniqueName="13" name="ロケーション" queryTableFieldId="13" dataDxfId="13"/>
    <tableColumn id="8" xr3:uid="{3A5B5B77-910E-4AE4-B079-F0651E8DF44D}" uniqueName="8" name="鍵垢" queryTableFieldId="23" dataDxfId="12"/>
    <tableColumn id="14" xr3:uid="{C815ED0F-032F-4DA5-9591-0E017FBC001A}" uniqueName="14" name="認証済み" queryTableFieldId="24" dataDxfId="11"/>
    <tableColumn id="15" xr3:uid="{59B24FF0-CA1D-4268-B8BB-38802F3A6038}" uniqueName="15" name="認証タイプ" queryTableFieldId="25" dataDxfId="10"/>
    <tableColumn id="18" xr3:uid="{7E8D3206-E0B7-4231-9B55-CC5D1F341479}" uniqueName="18" name="プロフィール画像URL" queryTableFieldId="18" dataDxfId="9"/>
    <tableColumn id="19" xr3:uid="{B53266BD-E6C7-4300-B82C-9349C67D35F4}" uniqueName="19" name="前回とのコンペア" queryTableFieldId="19" dataDxfId="8">
      <calculatedColumnFormula>SUBSTITUTE(_xlfn.XLOOKUP(follower[[#This Row],[ID]],before_follower[ID],before_follower[ID],"フォローされた"),follower[[#This Row],[ID]],"変化なし")</calculatedColumnFormula>
    </tableColumn>
    <tableColumn id="20" xr3:uid="{BB40EFB9-D568-4946-BCE6-4A2E1071A5E2}" uniqueName="20" name="FF状態" queryTableFieldId="22" dataDxfId="7">
      <calculatedColumnFormula>SUBSTITUTE(_xlfn.XLOOKUP(follower[[#This Row],[ID]],follow[ID],follow[ID],"片思われ"),follower[[#This Row],[ID]],"FF関係")</calculatedColumnFormula>
    </tableColumn>
  </tableColumns>
  <tableStyleInfo name="TableStyleDark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6E5B7F9-0764-400D-9B38-D5A3C97F1F4C}" name="before_follow" displayName="before_follow" ref="A5:Q6" tableType="queryTable" insertRow="1" totalsRowShown="0" headerRowDxfId="6" dataDxfId="5">
  <autoFilter ref="A5:Q6" xr:uid="{E6E5B7F9-0764-400D-9B38-D5A3C97F1F4C}"/>
  <tableColumns count="17">
    <tableColumn id="1" xr3:uid="{5B365FB0-0F06-4B8D-AABD-E11ED67EA6FC}" uniqueName="1" name="ID" queryTableFieldId="1"/>
    <tableColumn id="2" xr3:uid="{351C916C-95E8-45AB-826E-A41A02179FB7}" uniqueName="2" name="名前" queryTableFieldId="2"/>
    <tableColumn id="3" xr3:uid="{40D40E11-E4D9-4A6C-8308-2FBEA0F266B4}" uniqueName="3" name="スクリーン名" queryTableFieldId="3"/>
    <tableColumn id="4" xr3:uid="{E0C6CB72-8551-4C56-A32B-CAA83CED0F1F}" uniqueName="4" name="プロフィールURL" queryTableFieldId="4"/>
    <tableColumn id="5" xr3:uid="{E9B6F4D9-B45B-48E5-83C3-05213AAF55A2}" uniqueName="5" name="フォロー数" queryTableFieldId="5"/>
    <tableColumn id="6" xr3:uid="{2CA19C5B-CF32-4056-B3DE-EE998A1AC188}" uniqueName="6" name="フォロワー数" queryTableFieldId="6"/>
    <tableColumn id="7" xr3:uid="{D9BB9089-BD92-44B9-926B-9F21EF9D6FFE}" uniqueName="7" name="ツイート数" queryTableFieldId="7"/>
    <tableColumn id="9" xr3:uid="{44B02DF9-86B9-4538-B669-9D6DE97C8618}" uniqueName="9" name="追加された公開リスト数" queryTableFieldId="9"/>
    <tableColumn id="10" xr3:uid="{B6E33374-AB7C-4A16-B17D-7E509465831B}" uniqueName="10" name="Twitter開始日" queryTableFieldId="10"/>
    <tableColumn id="11" xr3:uid="{92BE39EF-1E63-4A95-A683-E024C2C86F12}" uniqueName="11" name="自己紹介" queryTableFieldId="11"/>
    <tableColumn id="12" xr3:uid="{964075B5-60F1-47F0-B94D-36FEA9BD043F}" uniqueName="12" name="リンクURL" queryTableFieldId="12"/>
    <tableColumn id="13" xr3:uid="{CBE08013-573B-4BEF-AFC5-A4D71344DCB7}" uniqueName="13" name="ロケーション" queryTableFieldId="13"/>
    <tableColumn id="8" xr3:uid="{7B058376-AB0A-4713-9AF3-35200A9AB132}" uniqueName="8" name="鍵垢" queryTableFieldId="23"/>
    <tableColumn id="14" xr3:uid="{47C0B3D2-2D22-4206-B273-FD70EFFDC042}" uniqueName="14" name="認証済み" queryTableFieldId="24"/>
    <tableColumn id="15" xr3:uid="{63DEB7D4-E556-469E-888D-766FAB340CD8}" uniqueName="15" name="認証タイプ" queryTableFieldId="25"/>
    <tableColumn id="18" xr3:uid="{8298E1CB-7F5B-4231-B525-69CE8814E2B8}" uniqueName="18" name="プロフィール画像URL" queryTableFieldId="18"/>
    <tableColumn id="19" xr3:uid="{FB34EBFF-CCE5-48ED-B835-195D24023A2F}" uniqueName="19" name="前回とのコンペア" queryTableFieldId="19">
      <calculatedColumnFormula>SUBSTITUTE(_xlfn.XLOOKUP(before_follow[[#This Row],[ID]],follow[ID],follow[ID],"フォローを解除",0,1),before_follow[[#This Row],[ID]],"変化なし")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8E6E1B5-3E6D-4582-AC0C-DFDDDC9E52E2}" name="before_follower" displayName="before_follower" ref="A5:Q6" tableType="queryTable" insertRow="1" totalsRowShown="0" headerRowDxfId="4" dataDxfId="2" headerRowBorderDxfId="3" tableBorderDxfId="1" totalsRowBorderDxfId="0">
  <autoFilter ref="A5:Q6" xr:uid="{A8E6E1B5-3E6D-4582-AC0C-DFDDDC9E52E2}"/>
  <tableColumns count="17">
    <tableColumn id="1" xr3:uid="{86A3EC6F-EC49-4A5F-A390-B52505BA648A}" uniqueName="1" name="ID" queryTableFieldId="1"/>
    <tableColumn id="2" xr3:uid="{5E193ADA-9426-43FC-AA30-4C7D372C1F30}" uniqueName="2" name="名前" queryTableFieldId="2"/>
    <tableColumn id="3" xr3:uid="{F70E6D7E-052E-4F04-84B0-C409B5E83AEB}" uniqueName="3" name="スクリーン名" queryTableFieldId="3"/>
    <tableColumn id="4" xr3:uid="{52DC6961-2E3D-48FB-AE69-0058A7ACCAEF}" uniqueName="4" name="プロフィールURL" queryTableFieldId="4"/>
    <tableColumn id="5" xr3:uid="{D5EB132D-079F-4CA9-90EF-E12021C6FB28}" uniqueName="5" name="フォロー数" queryTableFieldId="5"/>
    <tableColumn id="6" xr3:uid="{A84CDBE0-EE7E-4110-9B5C-7B111ACC59DE}" uniqueName="6" name="フォロワー数" queryTableFieldId="6"/>
    <tableColumn id="7" xr3:uid="{333887B7-0914-408B-A03D-F2E591A25DF2}" uniqueName="7" name="ツイート数" queryTableFieldId="7"/>
    <tableColumn id="9" xr3:uid="{2161BBA2-ECAC-424A-9F68-39CE5FEBD4E3}" uniqueName="9" name="追加された公開リスト数" queryTableFieldId="9"/>
    <tableColumn id="10" xr3:uid="{F6E490DC-23B9-4185-B537-FE642C02D9C6}" uniqueName="10" name="Twitter開始日" queryTableFieldId="10"/>
    <tableColumn id="11" xr3:uid="{480C58D5-84A1-44DF-ACA7-52835D0C1CFE}" uniqueName="11" name="自己紹介" queryTableFieldId="11"/>
    <tableColumn id="12" xr3:uid="{B9182DEF-1561-4EAA-B9BC-5C8B20197145}" uniqueName="12" name="リンクURL" queryTableFieldId="12"/>
    <tableColumn id="13" xr3:uid="{D76CA229-BD60-433D-9382-618B8AC97A58}" uniqueName="13" name="ロケーション" queryTableFieldId="13"/>
    <tableColumn id="8" xr3:uid="{4A54785B-00E3-42FC-A1CB-821BEC68592C}" uniqueName="8" name="鍵垢" queryTableFieldId="22"/>
    <tableColumn id="14" xr3:uid="{4FBCAD85-3596-4AEB-8A4A-72755CCAB016}" uniqueName="14" name="認証済み" queryTableFieldId="23"/>
    <tableColumn id="15" xr3:uid="{6844549B-99D0-4EE4-9F13-D64909ACB311}" uniqueName="15" name="認証タイプ" queryTableFieldId="24"/>
    <tableColumn id="18" xr3:uid="{946C6625-94C0-4BF4-9827-B26A45354DAB}" uniqueName="18" name="プロフィール画像URL" queryTableFieldId="18"/>
    <tableColumn id="19" xr3:uid="{857FEE27-A75A-43EB-B58A-7B645554A904}" uniqueName="19" name="前回とのコンペア" queryTableFieldId="19">
      <calculatedColumnFormula>SUBSTITUTE(_xlfn.XLOOKUP(before_follower[[#This Row],[ID]],follower[ID],follower[ID],"フォローを解除された"),before_follower[[#This Row],[ID]],"変化なし")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41AF2F0-F44E-42E0-AC5F-34488B885480}" name="setting" displayName="setting" ref="A6:B8" totalsRowShown="0">
  <autoFilter ref="A6:B8" xr:uid="{05532B62-E7A1-48EC-8653-4387AAF8179E}"/>
  <tableColumns count="2">
    <tableColumn id="1" xr3:uid="{D1BA13E0-EF41-466A-A073-333D9C1993AE}" name="プロパティ名"/>
    <tableColumn id="2" xr3:uid="{9889157A-2ADA-4DD1-AC5A-621F4E1F6B03}" name="値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4.xml"/><Relationship Id="rId5" Type="http://schemas.openxmlformats.org/officeDocument/2006/relationships/image" Target="../media/image1.emf"/><Relationship Id="rId10" Type="http://schemas.openxmlformats.org/officeDocument/2006/relationships/table" Target="../tables/table3.xml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C351C-0858-406A-A222-A80232B021FB}">
  <sheetPr codeName="Sheet5"/>
  <dimension ref="A1:AA17"/>
  <sheetViews>
    <sheetView tabSelected="1" zoomScale="75" zoomScaleNormal="75" workbookViewId="0"/>
  </sheetViews>
  <sheetFormatPr defaultRowHeight="18.75" x14ac:dyDescent="0.4"/>
  <cols>
    <col min="1" max="1" width="23.875" customWidth="1"/>
    <col min="2" max="2" width="24.125" customWidth="1"/>
    <col min="3" max="3" width="15.875" bestFit="1" customWidth="1"/>
    <col min="4" max="4" width="11.625" hidden="1" customWidth="1"/>
    <col min="5" max="5" width="13.625" hidden="1" customWidth="1"/>
    <col min="6" max="6" width="24" customWidth="1"/>
    <col min="7" max="7" width="11.625" customWidth="1"/>
    <col min="8" max="8" width="27.125" customWidth="1"/>
    <col min="9" max="9" width="17.75" customWidth="1"/>
    <col min="10" max="10" width="15.875" bestFit="1" customWidth="1"/>
    <col min="11" max="11" width="24.5" hidden="1" customWidth="1"/>
    <col min="12" max="12" width="20.125" hidden="1" customWidth="1"/>
    <col min="13" max="13" width="21.875" customWidth="1"/>
    <col min="14" max="14" width="15.875" bestFit="1" customWidth="1"/>
    <col min="15" max="15" width="26.625" customWidth="1"/>
    <col min="16" max="16" width="17.25" bestFit="1" customWidth="1"/>
    <col min="17" max="17" width="16.125" bestFit="1" customWidth="1"/>
    <col min="18" max="18" width="20.625" hidden="1" customWidth="1"/>
    <col min="19" max="19" width="22.5" hidden="1" customWidth="1"/>
    <col min="20" max="20" width="24.875" hidden="1" customWidth="1"/>
    <col min="21" max="21" width="20.25" customWidth="1"/>
    <col min="22" max="22" width="30.75" customWidth="1"/>
    <col min="23" max="23" width="23.75" customWidth="1"/>
    <col min="24" max="24" width="20.125" customWidth="1"/>
    <col min="25" max="25" width="15.875" hidden="1" customWidth="1"/>
    <col min="26" max="26" width="20.125" hidden="1" customWidth="1"/>
    <col min="27" max="27" width="26.125" hidden="1" customWidth="1"/>
    <col min="28" max="28" width="26.5" customWidth="1"/>
    <col min="29" max="29" width="14.75" customWidth="1"/>
    <col min="30" max="31" width="15.75" customWidth="1"/>
    <col min="32" max="32" width="20.125" customWidth="1"/>
    <col min="33" max="57" width="85" bestFit="1" customWidth="1"/>
    <col min="58" max="58" width="5.625" bestFit="1" customWidth="1"/>
  </cols>
  <sheetData>
    <row r="1" spans="1:22" ht="25.5" thickBot="1" x14ac:dyDescent="0.45">
      <c r="A1" s="10" t="s">
        <v>34</v>
      </c>
      <c r="B1" s="24"/>
      <c r="C1" s="10"/>
    </row>
    <row r="2" spans="1:22" ht="19.5" thickTop="1" x14ac:dyDescent="0.4"/>
    <row r="3" spans="1:22" ht="19.5" thickBot="1" x14ac:dyDescent="0.45">
      <c r="A3" s="33" t="s">
        <v>45</v>
      </c>
      <c r="H3" s="23" t="str" cm="1">
        <f t="array" aca="1" ref="H3" ca="1">HYPERLINK("https://hisubway.online/shadowban?username=" &amp; MID(CELL("filename"),FIND("[",CELL("filename"))+1,FIND("]",CELL("filename"))-FIND("[",CELL("filename"))-6),"ShadowBanチェック")</f>
        <v>ShadowBanチェック</v>
      </c>
    </row>
    <row r="4" spans="1:22" ht="19.5" thickBot="1" x14ac:dyDescent="0.45">
      <c r="A4" s="32"/>
    </row>
    <row r="5" spans="1:22" ht="19.5" thickBot="1" x14ac:dyDescent="0.45">
      <c r="A5" s="36" t="s">
        <v>31</v>
      </c>
      <c r="B5" s="37" t="s">
        <v>32</v>
      </c>
      <c r="C5" s="38" t="s">
        <v>46</v>
      </c>
    </row>
    <row r="6" spans="1:22" ht="19.5" thickBot="1" x14ac:dyDescent="0.45">
      <c r="A6" s="34">
        <f>follow!B3</f>
        <v>0</v>
      </c>
      <c r="B6" s="35">
        <f>follower!B3</f>
        <v>0</v>
      </c>
      <c r="C6" s="49" t="str">
        <f>IFERROR(B6/A6,"-")</f>
        <v>-</v>
      </c>
    </row>
    <row r="7" spans="1:22" ht="19.5" thickBot="1" x14ac:dyDescent="0.45"/>
    <row r="8" spans="1:22" ht="19.5" thickBot="1" x14ac:dyDescent="0.45">
      <c r="A8" s="36" t="s">
        <v>42</v>
      </c>
      <c r="B8" s="37" t="s">
        <v>43</v>
      </c>
      <c r="C8" s="38" t="s">
        <v>44</v>
      </c>
    </row>
    <row r="9" spans="1:22" ht="19.5" thickBot="1" x14ac:dyDescent="0.45">
      <c r="A9" s="34">
        <f>COUNTIF(follow[FF状態],"FF関係")</f>
        <v>0</v>
      </c>
      <c r="B9" s="35">
        <f>A6-A9</f>
        <v>0</v>
      </c>
      <c r="C9" s="39">
        <f>B6-A9</f>
        <v>0</v>
      </c>
    </row>
    <row r="15" spans="1:22" ht="21" thickBot="1" x14ac:dyDescent="0.45">
      <c r="A15" s="11" t="s">
        <v>21</v>
      </c>
      <c r="H15" s="11" t="s">
        <v>25</v>
      </c>
      <c r="O15" s="11" t="s">
        <v>19</v>
      </c>
      <c r="V15" s="11" t="s">
        <v>20</v>
      </c>
    </row>
    <row r="16" spans="1:22" ht="19.5" thickTop="1" x14ac:dyDescent="0.4"/>
    <row r="17" spans="1:27" x14ac:dyDescent="0.4">
      <c r="A17" t="s">
        <v>0</v>
      </c>
      <c r="B17" t="s">
        <v>1</v>
      </c>
      <c r="C17" t="s">
        <v>2</v>
      </c>
      <c r="D17" t="s">
        <v>12</v>
      </c>
      <c r="E17" t="s">
        <v>22</v>
      </c>
      <c r="F17" t="s">
        <v>40</v>
      </c>
      <c r="H17" t="s">
        <v>0</v>
      </c>
      <c r="I17" t="s">
        <v>1</v>
      </c>
      <c r="J17" t="s">
        <v>2</v>
      </c>
      <c r="K17" t="s">
        <v>12</v>
      </c>
      <c r="L17" t="s">
        <v>22</v>
      </c>
      <c r="M17" t="s">
        <v>39</v>
      </c>
      <c r="O17" t="s">
        <v>0</v>
      </c>
      <c r="P17" t="s">
        <v>1</v>
      </c>
      <c r="Q17" t="s">
        <v>2</v>
      </c>
      <c r="R17" t="s">
        <v>12</v>
      </c>
      <c r="S17" t="s">
        <v>22</v>
      </c>
      <c r="T17" t="s">
        <v>40</v>
      </c>
      <c r="V17" t="s">
        <v>0</v>
      </c>
      <c r="W17" t="s">
        <v>1</v>
      </c>
      <c r="X17" t="s">
        <v>2</v>
      </c>
      <c r="Y17" t="s">
        <v>12</v>
      </c>
      <c r="Z17" t="s">
        <v>22</v>
      </c>
      <c r="AA17" t="s">
        <v>39</v>
      </c>
    </row>
  </sheetData>
  <phoneticPr fontId="3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" r:id="rId4" name="CheckBox1">
          <controlPr defaultSize="0" autoLine="0" r:id="rId5">
            <anchor moveWithCells="1">
              <from>
                <xdr:col>7</xdr:col>
                <xdr:colOff>0</xdr:colOff>
                <xdr:row>0</xdr:row>
                <xdr:rowOff>38100</xdr:rowOff>
              </from>
              <to>
                <xdr:col>8</xdr:col>
                <xdr:colOff>714375</xdr:colOff>
                <xdr:row>1</xdr:row>
                <xdr:rowOff>219075</xdr:rowOff>
              </to>
            </anchor>
          </controlPr>
        </control>
      </mc:Choice>
      <mc:Fallback>
        <control shapeId="1034" r:id="rId4" name="CheckBox1"/>
      </mc:Fallback>
    </mc:AlternateContent>
    <mc:AlternateContent xmlns:mc="http://schemas.openxmlformats.org/markup-compatibility/2006">
      <mc:Choice Requires="x14">
        <control shapeId="1032" r:id="rId6" name="Button 8">
          <controlPr defaultSize="0" print="0" autoFill="0" autoPict="0" macro="[0]!csvRead">
            <anchor moveWithCells="1" sizeWithCells="1">
              <from>
                <xdr:col>0</xdr:col>
                <xdr:colOff>0</xdr:colOff>
                <xdr:row>10</xdr:row>
                <xdr:rowOff>9525</xdr:rowOff>
              </from>
              <to>
                <xdr:col>0</xdr:col>
                <xdr:colOff>1800225</xdr:colOff>
                <xdr:row>12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" name="Button 9">
          <controlPr defaultSize="0" print="0" autoFill="0" autoPict="0" macro="[0]!dataRefresh">
            <anchor moveWithCells="1" sizeWithCells="1">
              <from>
                <xdr:col>2</xdr:col>
                <xdr:colOff>0</xdr:colOff>
                <xdr:row>9</xdr:row>
                <xdr:rowOff>238125</xdr:rowOff>
              </from>
              <to>
                <xdr:col>6</xdr:col>
                <xdr:colOff>0</xdr:colOff>
                <xdr:row>12</xdr:row>
                <xdr:rowOff>200025</xdr:rowOff>
              </to>
            </anchor>
          </controlPr>
        </control>
      </mc:Choice>
    </mc:AlternateContent>
  </controls>
  <tableParts count="4"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F762D-BE69-4AF3-BAB5-513374050B16}">
  <sheetPr codeName="Sheet6"/>
  <dimension ref="A1:N58"/>
  <sheetViews>
    <sheetView zoomScale="75" zoomScaleNormal="75" workbookViewId="0"/>
  </sheetViews>
  <sheetFormatPr defaultRowHeight="18.75" x14ac:dyDescent="0.4"/>
  <cols>
    <col min="1" max="1" width="14.75" customWidth="1"/>
    <col min="2" max="2" width="21.625" bestFit="1" customWidth="1"/>
    <col min="3" max="3" width="48.625" customWidth="1"/>
    <col min="4" max="4" width="20.5" customWidth="1"/>
    <col min="5" max="5" width="16.5" customWidth="1"/>
    <col min="6" max="6" width="16.875" customWidth="1"/>
    <col min="7" max="7" width="17.375" customWidth="1"/>
    <col min="8" max="8" width="21.5" customWidth="1"/>
    <col min="9" max="9" width="14.25" customWidth="1"/>
    <col min="10" max="10" width="15.375" customWidth="1"/>
    <col min="11" max="11" width="18.625" hidden="1" customWidth="1"/>
    <col min="12" max="12" width="26.25" customWidth="1"/>
    <col min="13" max="13" width="12.25" customWidth="1"/>
  </cols>
  <sheetData>
    <row r="1" spans="1:14" ht="21" thickBot="1" x14ac:dyDescent="0.45">
      <c r="A1" s="45" t="s">
        <v>28</v>
      </c>
      <c r="B1" s="46"/>
      <c r="C1" s="47"/>
    </row>
    <row r="2" spans="1:14" ht="19.5" thickTop="1" x14ac:dyDescent="0.4"/>
    <row r="6" spans="1:14" x14ac:dyDescent="0.4">
      <c r="A6" t="s">
        <v>37</v>
      </c>
      <c r="B6" t="s">
        <v>33</v>
      </c>
      <c r="C6" t="s">
        <v>1</v>
      </c>
      <c r="D6" t="s">
        <v>2</v>
      </c>
      <c r="E6" t="s">
        <v>21</v>
      </c>
      <c r="F6" t="s">
        <v>29</v>
      </c>
      <c r="G6" t="s">
        <v>19</v>
      </c>
      <c r="H6" t="s">
        <v>30</v>
      </c>
      <c r="I6" t="s">
        <v>31</v>
      </c>
      <c r="J6" t="s">
        <v>32</v>
      </c>
      <c r="K6" t="s">
        <v>35</v>
      </c>
      <c r="L6" t="s">
        <v>36</v>
      </c>
      <c r="M6" t="s">
        <v>38</v>
      </c>
      <c r="N6" t="s">
        <v>50</v>
      </c>
    </row>
    <row r="7" spans="1:14" ht="69.95" customHeight="1" x14ac:dyDescent="0.4">
      <c r="A7" s="40"/>
      <c r="B7" s="41"/>
      <c r="L7" s="42"/>
      <c r="M7" s="43"/>
      <c r="N7" s="44"/>
    </row>
    <row r="8" spans="1:14" ht="69.95" customHeight="1" x14ac:dyDescent="0.4"/>
    <row r="9" spans="1:14" ht="69.95" customHeight="1" x14ac:dyDescent="0.4"/>
    <row r="10" spans="1:14" ht="69.95" customHeight="1" x14ac:dyDescent="0.4"/>
    <row r="11" spans="1:14" ht="69.95" customHeight="1" x14ac:dyDescent="0.4"/>
    <row r="12" spans="1:14" ht="69.95" customHeight="1" x14ac:dyDescent="0.4"/>
    <row r="13" spans="1:14" ht="69.95" customHeight="1" x14ac:dyDescent="0.4"/>
    <row r="14" spans="1:14" ht="69.95" customHeight="1" x14ac:dyDescent="0.4"/>
    <row r="15" spans="1:14" ht="69.95" customHeight="1" x14ac:dyDescent="0.4"/>
    <row r="16" spans="1:14" ht="69.95" customHeight="1" x14ac:dyDescent="0.4"/>
    <row r="17" ht="69.95" customHeight="1" x14ac:dyDescent="0.4"/>
    <row r="18" ht="69.95" customHeight="1" x14ac:dyDescent="0.4"/>
    <row r="19" ht="69.95" customHeight="1" x14ac:dyDescent="0.4"/>
    <row r="20" ht="69.95" customHeight="1" x14ac:dyDescent="0.4"/>
    <row r="21" ht="69.95" customHeight="1" x14ac:dyDescent="0.4"/>
    <row r="22" ht="69.95" customHeight="1" x14ac:dyDescent="0.4"/>
    <row r="23" ht="69.95" customHeight="1" x14ac:dyDescent="0.4"/>
    <row r="24" ht="69.95" customHeight="1" x14ac:dyDescent="0.4"/>
    <row r="25" ht="69.95" customHeight="1" x14ac:dyDescent="0.4"/>
    <row r="26" ht="69.95" customHeight="1" x14ac:dyDescent="0.4"/>
    <row r="27" ht="69.95" customHeight="1" x14ac:dyDescent="0.4"/>
    <row r="28" ht="69.95" customHeight="1" x14ac:dyDescent="0.4"/>
    <row r="29" ht="69.95" customHeight="1" x14ac:dyDescent="0.4"/>
    <row r="30" ht="69.95" customHeight="1" x14ac:dyDescent="0.4"/>
    <row r="31" ht="69.95" customHeight="1" x14ac:dyDescent="0.4"/>
    <row r="32" ht="69.95" customHeight="1" x14ac:dyDescent="0.4"/>
    <row r="33" ht="69.95" customHeight="1" x14ac:dyDescent="0.4"/>
    <row r="34" ht="69.95" customHeight="1" x14ac:dyDescent="0.4"/>
    <row r="35" ht="69.95" customHeight="1" x14ac:dyDescent="0.4"/>
    <row r="36" ht="69.95" customHeight="1" x14ac:dyDescent="0.4"/>
    <row r="37" ht="69.95" customHeight="1" x14ac:dyDescent="0.4"/>
    <row r="38" ht="69.95" customHeight="1" x14ac:dyDescent="0.4"/>
    <row r="39" ht="69.95" customHeight="1" x14ac:dyDescent="0.4"/>
    <row r="40" ht="69.95" customHeight="1" x14ac:dyDescent="0.4"/>
    <row r="41" ht="69.95" customHeight="1" x14ac:dyDescent="0.4"/>
    <row r="42" ht="69.95" customHeight="1" x14ac:dyDescent="0.4"/>
    <row r="43" ht="69.95" customHeight="1" x14ac:dyDescent="0.4"/>
    <row r="44" ht="69.95" customHeight="1" x14ac:dyDescent="0.4"/>
    <row r="45" ht="69.95" customHeight="1" x14ac:dyDescent="0.4"/>
    <row r="46" ht="69.95" customHeight="1" x14ac:dyDescent="0.4"/>
    <row r="47" ht="69.95" customHeight="1" x14ac:dyDescent="0.4"/>
    <row r="48" ht="69.95" customHeight="1" x14ac:dyDescent="0.4"/>
    <row r="49" ht="69.95" customHeight="1" x14ac:dyDescent="0.4"/>
    <row r="50" ht="69.95" customHeight="1" x14ac:dyDescent="0.4"/>
    <row r="51" ht="69.95" customHeight="1" x14ac:dyDescent="0.4"/>
    <row r="52" ht="69.95" customHeight="1" x14ac:dyDescent="0.4"/>
    <row r="53" ht="69.95" customHeight="1" x14ac:dyDescent="0.4"/>
    <row r="54" ht="69.95" customHeight="1" x14ac:dyDescent="0.4"/>
    <row r="55" ht="69.95" customHeight="1" x14ac:dyDescent="0.4"/>
    <row r="56" ht="69.95" customHeight="1" x14ac:dyDescent="0.4"/>
    <row r="57" ht="69.95" customHeight="1" x14ac:dyDescent="0.4"/>
    <row r="58" ht="69.95" customHeight="1" x14ac:dyDescent="0.4"/>
  </sheetData>
  <phoneticPr fontId="3"/>
  <conditionalFormatting sqref="H6:H7">
    <cfRule type="cellIs" dxfId="72" priority="4" operator="equal">
      <formula>TRUE</formula>
    </cfRule>
  </conditionalFormatting>
  <conditionalFormatting sqref="G7">
    <cfRule type="cellIs" dxfId="71" priority="3" operator="equal">
      <formula>TRUE</formula>
    </cfRule>
  </conditionalFormatting>
  <conditionalFormatting sqref="E7">
    <cfRule type="cellIs" dxfId="70" priority="2" operator="equal">
      <formula>TRUE</formula>
    </cfRule>
  </conditionalFormatting>
  <conditionalFormatting sqref="F7">
    <cfRule type="cellIs" dxfId="69" priority="1" operator="equal">
      <formula>TRUE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are">
                <anchor moveWithCells="1" siz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1</xdr:col>
                    <xdr:colOff>428625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966F5-DA02-4570-8E3E-BB81699DC3B5}">
  <sheetPr codeName="Sheet1"/>
  <dimension ref="A1:Y268"/>
  <sheetViews>
    <sheetView zoomScale="75" zoomScaleNormal="75" workbookViewId="0"/>
  </sheetViews>
  <sheetFormatPr defaultColWidth="9" defaultRowHeight="18.75" x14ac:dyDescent="0.4"/>
  <cols>
    <col min="1" max="1" width="22.5" style="1" bestFit="1" customWidth="1"/>
    <col min="2" max="2" width="81" style="1" bestFit="1" customWidth="1"/>
    <col min="3" max="3" width="23.125" style="1" bestFit="1" customWidth="1"/>
    <col min="4" max="4" width="42.5" style="1" bestFit="1" customWidth="1"/>
    <col min="5" max="5" width="14" style="1" bestFit="1" customWidth="1"/>
    <col min="6" max="6" width="15.875" style="1" bestFit="1" customWidth="1"/>
    <col min="7" max="7" width="13.625" style="1" bestFit="1" customWidth="1"/>
    <col min="8" max="8" width="15.875" style="1" bestFit="1" customWidth="1"/>
    <col min="9" max="9" width="26.5" style="1" bestFit="1" customWidth="1"/>
    <col min="10" max="10" width="17.5" style="1" bestFit="1" customWidth="1"/>
    <col min="11" max="12" width="27.5" style="1" bestFit="1" customWidth="1"/>
    <col min="13" max="13" width="8.25" style="1" bestFit="1" customWidth="1"/>
    <col min="14" max="14" width="12" style="1" bestFit="1" customWidth="1"/>
    <col min="15" max="15" width="14" style="1" bestFit="1" customWidth="1"/>
    <col min="16" max="16" width="61.625" style="1" customWidth="1"/>
    <col min="17" max="17" width="20.125" style="1" bestFit="1" customWidth="1"/>
    <col min="18" max="18" width="10.625" style="1" bestFit="1" customWidth="1"/>
    <col min="19" max="19" width="15.625" style="1" bestFit="1" customWidth="1"/>
    <col min="20" max="20" width="8.25" style="1" bestFit="1" customWidth="1"/>
    <col min="21" max="21" width="22.25" style="1" bestFit="1" customWidth="1"/>
    <col min="22" max="22" width="73.625" style="1" bestFit="1" customWidth="1"/>
    <col min="23" max="23" width="81" style="1" bestFit="1" customWidth="1"/>
    <col min="24" max="24" width="20.125" style="1" bestFit="1" customWidth="1"/>
    <col min="25" max="25" width="10.625" style="1" bestFit="1" customWidth="1"/>
    <col min="26" max="16384" width="9" style="1"/>
  </cols>
  <sheetData>
    <row r="1" spans="1:23" ht="21" thickBot="1" x14ac:dyDescent="0.45">
      <c r="A1" s="2" t="s">
        <v>15</v>
      </c>
      <c r="B1" s="2"/>
      <c r="C1" s="2"/>
    </row>
    <row r="2" spans="1:23" ht="19.5" thickTop="1" x14ac:dyDescent="0.4"/>
    <row r="3" spans="1:23" x14ac:dyDescent="0.4">
      <c r="A3" s="3" t="s">
        <v>13</v>
      </c>
      <c r="B3" s="3">
        <f>COUNTA(follow[ID])</f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5"/>
    </row>
    <row r="4" spans="1:23" x14ac:dyDescent="0.4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8"/>
    </row>
    <row r="5" spans="1:23" x14ac:dyDescent="0.4">
      <c r="A5" s="19" t="s">
        <v>0</v>
      </c>
      <c r="B5" s="20" t="s">
        <v>1</v>
      </c>
      <c r="C5" s="20" t="s">
        <v>2</v>
      </c>
      <c r="D5" s="20" t="s">
        <v>3</v>
      </c>
      <c r="E5" s="20" t="s">
        <v>4</v>
      </c>
      <c r="F5" s="20" t="s">
        <v>5</v>
      </c>
      <c r="G5" s="20" t="s">
        <v>6</v>
      </c>
      <c r="H5" s="20" t="s">
        <v>7</v>
      </c>
      <c r="I5" s="20" t="s">
        <v>8</v>
      </c>
      <c r="J5" s="20" t="s">
        <v>9</v>
      </c>
      <c r="K5" s="20" t="s">
        <v>10</v>
      </c>
      <c r="L5" s="20" t="s">
        <v>11</v>
      </c>
      <c r="M5" t="s">
        <v>47</v>
      </c>
      <c r="N5" t="s">
        <v>48</v>
      </c>
      <c r="O5" t="s">
        <v>49</v>
      </c>
      <c r="P5" s="21" t="s">
        <v>12</v>
      </c>
      <c r="Q5" s="22" t="s">
        <v>23</v>
      </c>
      <c r="R5" s="29" t="s">
        <v>41</v>
      </c>
      <c r="S5" s="25"/>
    </row>
    <row r="6" spans="1:23" x14ac:dyDescent="0.4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/>
      <c r="N6"/>
      <c r="O6"/>
      <c r="P6" s="48"/>
      <c r="Q6" s="28"/>
      <c r="R6" s="28"/>
      <c r="S6" s="25"/>
    </row>
    <row r="7" spans="1:23" x14ac:dyDescent="0.4">
      <c r="S7" s="25"/>
    </row>
    <row r="8" spans="1:23" x14ac:dyDescent="0.4">
      <c r="S8" s="25"/>
    </row>
    <row r="9" spans="1:23" x14ac:dyDescent="0.4">
      <c r="S9" s="25"/>
    </row>
    <row r="10" spans="1:23" x14ac:dyDescent="0.4">
      <c r="S10" s="25"/>
    </row>
    <row r="11" spans="1:23" x14ac:dyDescent="0.4">
      <c r="S11" s="25"/>
    </row>
    <row r="12" spans="1:23" x14ac:dyDescent="0.4">
      <c r="S12" s="25"/>
    </row>
    <row r="13" spans="1:23" x14ac:dyDescent="0.4">
      <c r="S13" s="25"/>
    </row>
    <row r="14" spans="1:23" x14ac:dyDescent="0.4">
      <c r="S14" s="25"/>
    </row>
    <row r="15" spans="1:23" x14ac:dyDescent="0.4">
      <c r="S15" s="25"/>
    </row>
    <row r="16" spans="1:23" x14ac:dyDescent="0.4">
      <c r="S16" s="25"/>
    </row>
    <row r="17" spans="19:19" x14ac:dyDescent="0.4">
      <c r="S17" s="25"/>
    </row>
    <row r="18" spans="19:19" x14ac:dyDescent="0.4">
      <c r="S18" s="25"/>
    </row>
    <row r="19" spans="19:19" x14ac:dyDescent="0.4">
      <c r="S19" s="25"/>
    </row>
    <row r="20" spans="19:19" x14ac:dyDescent="0.4">
      <c r="S20" s="25"/>
    </row>
    <row r="21" spans="19:19" x14ac:dyDescent="0.4">
      <c r="S21" s="25"/>
    </row>
    <row r="268" spans="19:25" x14ac:dyDescent="0.4">
      <c r="S268" s="4"/>
      <c r="T268" s="4"/>
      <c r="U268" s="4"/>
      <c r="V268" s="4"/>
      <c r="W268" s="4"/>
      <c r="X268" s="4"/>
      <c r="Y268" s="4"/>
    </row>
  </sheetData>
  <phoneticPr fontId="3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2D88-DB04-4F28-A72A-A0567C9C062E}">
  <sheetPr codeName="Sheet2"/>
  <dimension ref="A1:Y6"/>
  <sheetViews>
    <sheetView zoomScale="75" zoomScaleNormal="75" workbookViewId="0"/>
  </sheetViews>
  <sheetFormatPr defaultColWidth="9" defaultRowHeight="18.75" x14ac:dyDescent="0.4"/>
  <cols>
    <col min="1" max="1" width="22.5" style="1" bestFit="1" customWidth="1"/>
    <col min="2" max="2" width="81" style="1" bestFit="1" customWidth="1"/>
    <col min="3" max="3" width="23.125" style="1" bestFit="1" customWidth="1"/>
    <col min="4" max="4" width="42.5" style="1" bestFit="1" customWidth="1"/>
    <col min="5" max="5" width="14" style="1" bestFit="1" customWidth="1"/>
    <col min="6" max="6" width="15.875" style="1" bestFit="1" customWidth="1"/>
    <col min="7" max="7" width="13.625" style="1" bestFit="1" customWidth="1"/>
    <col min="8" max="8" width="15.875" style="1" bestFit="1" customWidth="1"/>
    <col min="9" max="9" width="26.5" style="1" bestFit="1" customWidth="1"/>
    <col min="10" max="10" width="17.5" style="1" bestFit="1" customWidth="1"/>
    <col min="11" max="11" width="81" style="1" bestFit="1" customWidth="1"/>
    <col min="12" max="12" width="27.25" style="1" bestFit="1" customWidth="1"/>
    <col min="13" max="13" width="63.5" style="1" bestFit="1" customWidth="1"/>
    <col min="14" max="16" width="63.5" style="1" customWidth="1"/>
    <col min="17" max="17" width="20.125" style="1" bestFit="1" customWidth="1"/>
    <col min="18" max="18" width="10.625" style="1" bestFit="1" customWidth="1"/>
    <col min="19" max="19" width="15.625" style="1" bestFit="1" customWidth="1"/>
    <col min="20" max="20" width="8.25" style="1" bestFit="1" customWidth="1"/>
    <col min="21" max="21" width="22.25" style="1" bestFit="1" customWidth="1"/>
    <col min="22" max="22" width="73.625" style="1" bestFit="1" customWidth="1"/>
    <col min="23" max="23" width="81" style="1" bestFit="1" customWidth="1"/>
    <col min="24" max="24" width="20.125" style="1" bestFit="1" customWidth="1"/>
    <col min="25" max="25" width="10.625" style="1" bestFit="1" customWidth="1"/>
    <col min="26" max="16384" width="9" style="1"/>
  </cols>
  <sheetData>
    <row r="1" spans="1:25" ht="21" thickBot="1" x14ac:dyDescent="0.45">
      <c r="A1" s="2" t="s">
        <v>16</v>
      </c>
      <c r="B1" s="2"/>
      <c r="C1" s="2"/>
    </row>
    <row r="2" spans="1:25" ht="19.5" thickTop="1" x14ac:dyDescent="0.4"/>
    <row r="3" spans="1:25" x14ac:dyDescent="0.4">
      <c r="A3" s="3" t="s">
        <v>14</v>
      </c>
      <c r="B3" s="4">
        <f>COUNTA(follower[ID])</f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5"/>
    </row>
    <row r="4" spans="1:25" x14ac:dyDescent="0.4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5"/>
      <c r="Y4" s="30"/>
    </row>
    <row r="5" spans="1:25" x14ac:dyDescent="0.4">
      <c r="A5" s="16" t="s">
        <v>0</v>
      </c>
      <c r="B5" s="17" t="s">
        <v>1</v>
      </c>
      <c r="C5" s="17" t="s">
        <v>2</v>
      </c>
      <c r="D5" s="17" t="s">
        <v>3</v>
      </c>
      <c r="E5" s="17" t="s">
        <v>4</v>
      </c>
      <c r="F5" s="17" t="s">
        <v>5</v>
      </c>
      <c r="G5" s="17" t="s">
        <v>6</v>
      </c>
      <c r="H5" s="17" t="s">
        <v>7</v>
      </c>
      <c r="I5" s="17" t="s">
        <v>8</v>
      </c>
      <c r="J5" s="17" t="s">
        <v>9</v>
      </c>
      <c r="K5" s="17" t="s">
        <v>10</v>
      </c>
      <c r="L5" s="17" t="s">
        <v>11</v>
      </c>
      <c r="M5" t="s">
        <v>47</v>
      </c>
      <c r="N5" t="s">
        <v>48</v>
      </c>
      <c r="O5" t="s">
        <v>49</v>
      </c>
      <c r="P5" s="18" t="s">
        <v>12</v>
      </c>
      <c r="Q5" s="31" t="s">
        <v>24</v>
      </c>
      <c r="R5" s="28" t="s">
        <v>41</v>
      </c>
      <c r="S5" s="25"/>
    </row>
    <row r="6" spans="1:25" x14ac:dyDescent="0.4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/>
      <c r="N6"/>
      <c r="O6"/>
      <c r="P6" s="48"/>
      <c r="Q6" s="28"/>
      <c r="R6" s="28"/>
      <c r="S6" s="25"/>
    </row>
  </sheetData>
  <phoneticPr fontId="3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EBE79-4E0D-49A7-89B9-60E31A810471}">
  <sheetPr codeName="Sheet3"/>
  <dimension ref="A1:V298"/>
  <sheetViews>
    <sheetView zoomScale="75" zoomScaleNormal="75" workbookViewId="0"/>
  </sheetViews>
  <sheetFormatPr defaultColWidth="9" defaultRowHeight="18.75" x14ac:dyDescent="0.4"/>
  <cols>
    <col min="1" max="1" width="22.5" style="9" bestFit="1" customWidth="1"/>
    <col min="2" max="2" width="81" style="9" bestFit="1" customWidth="1"/>
    <col min="3" max="3" width="23.125" style="9" bestFit="1" customWidth="1"/>
    <col min="4" max="4" width="42.5" style="9" bestFit="1" customWidth="1"/>
    <col min="5" max="5" width="14" style="9" bestFit="1" customWidth="1"/>
    <col min="6" max="6" width="15.875" style="9" bestFit="1" customWidth="1"/>
    <col min="7" max="7" width="13.625" style="9" bestFit="1" customWidth="1"/>
    <col min="8" max="8" width="15.875" style="9" bestFit="1" customWidth="1"/>
    <col min="9" max="9" width="26.5" style="9" bestFit="1" customWidth="1"/>
    <col min="10" max="10" width="17.5" style="9" bestFit="1" customWidth="1"/>
    <col min="11" max="11" width="81" style="9" bestFit="1" customWidth="1"/>
    <col min="12" max="12" width="27.5" style="9" bestFit="1" customWidth="1"/>
    <col min="13" max="13" width="61.625" style="9" bestFit="1" customWidth="1"/>
    <col min="14" max="16" width="61.625" style="9" customWidth="1"/>
    <col min="17" max="17" width="15.625" style="9" bestFit="1" customWidth="1"/>
    <col min="18" max="18" width="8.25" style="9" bestFit="1" customWidth="1"/>
    <col min="19" max="19" width="22.25" style="9" bestFit="1" customWidth="1"/>
    <col min="20" max="20" width="73.625" style="9" bestFit="1" customWidth="1"/>
    <col min="21" max="21" width="81" style="9" bestFit="1" customWidth="1"/>
    <col min="22" max="22" width="20.125" style="9" bestFit="1" customWidth="1"/>
    <col min="23" max="16384" width="9" style="9"/>
  </cols>
  <sheetData>
    <row r="1" spans="1:22" ht="21" thickBot="1" x14ac:dyDescent="0.45">
      <c r="A1" s="2" t="s">
        <v>18</v>
      </c>
      <c r="B1" s="2"/>
      <c r="C1" s="2"/>
    </row>
    <row r="2" spans="1:22" ht="19.5" thickTop="1" x14ac:dyDescent="0.4">
      <c r="A2" s="1"/>
      <c r="B2" s="1"/>
      <c r="C2" s="1"/>
    </row>
    <row r="3" spans="1:22" x14ac:dyDescent="0.4">
      <c r="A3" s="3" t="s">
        <v>27</v>
      </c>
      <c r="B3" s="4">
        <f>COUNTA(before_follow[ID])</f>
        <v>0</v>
      </c>
      <c r="C3" s="4"/>
    </row>
    <row r="4" spans="1:22" x14ac:dyDescent="0.4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</row>
    <row r="5" spans="1:22" x14ac:dyDescent="0.4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47</v>
      </c>
      <c r="N5" t="s">
        <v>48</v>
      </c>
      <c r="O5" t="s">
        <v>49</v>
      </c>
      <c r="P5" t="s">
        <v>12</v>
      </c>
      <c r="Q5" t="s">
        <v>23</v>
      </c>
      <c r="R5" s="26"/>
    </row>
    <row r="6" spans="1:22" x14ac:dyDescent="0.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 s="26"/>
    </row>
    <row r="7" spans="1:22" x14ac:dyDescent="0.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26"/>
    </row>
    <row r="8" spans="1:22" x14ac:dyDescent="0.4">
      <c r="R8" s="26"/>
    </row>
    <row r="9" spans="1:22" x14ac:dyDescent="0.4">
      <c r="R9" s="26"/>
    </row>
    <row r="10" spans="1:22" x14ac:dyDescent="0.4">
      <c r="R10" s="26"/>
    </row>
    <row r="11" spans="1:22" x14ac:dyDescent="0.4">
      <c r="R11" s="26"/>
    </row>
    <row r="12" spans="1:22" x14ac:dyDescent="0.4">
      <c r="R12" s="26"/>
    </row>
    <row r="13" spans="1:22" x14ac:dyDescent="0.4">
      <c r="R13" s="26"/>
    </row>
    <row r="14" spans="1:22" x14ac:dyDescent="0.4">
      <c r="R14" s="26"/>
    </row>
    <row r="15" spans="1:22" x14ac:dyDescent="0.4">
      <c r="R15" s="26"/>
    </row>
    <row r="16" spans="1:22" x14ac:dyDescent="0.4">
      <c r="R16" s="26"/>
    </row>
    <row r="17" spans="18:18" x14ac:dyDescent="0.4">
      <c r="R17" s="26"/>
    </row>
    <row r="18" spans="18:18" x14ac:dyDescent="0.4">
      <c r="R18" s="26"/>
    </row>
    <row r="19" spans="18:18" x14ac:dyDescent="0.4">
      <c r="R19" s="26"/>
    </row>
    <row r="20" spans="18:18" x14ac:dyDescent="0.4">
      <c r="R20" s="26"/>
    </row>
    <row r="21" spans="18:18" x14ac:dyDescent="0.4">
      <c r="R21" s="26"/>
    </row>
    <row r="22" spans="18:18" x14ac:dyDescent="0.4">
      <c r="R22" s="26"/>
    </row>
    <row r="23" spans="18:18" x14ac:dyDescent="0.4">
      <c r="R23" s="26"/>
    </row>
    <row r="24" spans="18:18" x14ac:dyDescent="0.4">
      <c r="R24" s="26"/>
    </row>
    <row r="25" spans="18:18" x14ac:dyDescent="0.4">
      <c r="R25" s="26"/>
    </row>
    <row r="26" spans="18:18" x14ac:dyDescent="0.4">
      <c r="R26" s="26"/>
    </row>
    <row r="27" spans="18:18" x14ac:dyDescent="0.4">
      <c r="R27" s="26"/>
    </row>
    <row r="28" spans="18:18" x14ac:dyDescent="0.4">
      <c r="R28" s="26"/>
    </row>
    <row r="29" spans="18:18" x14ac:dyDescent="0.4">
      <c r="R29" s="26"/>
    </row>
    <row r="30" spans="18:18" x14ac:dyDescent="0.4">
      <c r="R30" s="26"/>
    </row>
    <row r="31" spans="18:18" x14ac:dyDescent="0.4">
      <c r="R31" s="26"/>
    </row>
    <row r="32" spans="18:18" x14ac:dyDescent="0.4">
      <c r="R32" s="26"/>
    </row>
    <row r="33" spans="18:18" x14ac:dyDescent="0.4">
      <c r="R33" s="26"/>
    </row>
    <row r="34" spans="18:18" x14ac:dyDescent="0.4">
      <c r="R34" s="26"/>
    </row>
    <row r="35" spans="18:18" x14ac:dyDescent="0.4">
      <c r="R35" s="26"/>
    </row>
    <row r="36" spans="18:18" x14ac:dyDescent="0.4">
      <c r="R36" s="26"/>
    </row>
    <row r="37" spans="18:18" x14ac:dyDescent="0.4">
      <c r="R37" s="26"/>
    </row>
    <row r="38" spans="18:18" x14ac:dyDescent="0.4">
      <c r="R38" s="26"/>
    </row>
    <row r="39" spans="18:18" x14ac:dyDescent="0.4">
      <c r="R39" s="26"/>
    </row>
    <row r="40" spans="18:18" x14ac:dyDescent="0.4">
      <c r="R40" s="26"/>
    </row>
    <row r="41" spans="18:18" x14ac:dyDescent="0.4">
      <c r="R41" s="26"/>
    </row>
    <row r="42" spans="18:18" x14ac:dyDescent="0.4">
      <c r="R42" s="26"/>
    </row>
    <row r="43" spans="18:18" x14ac:dyDescent="0.4">
      <c r="R43" s="26"/>
    </row>
    <row r="44" spans="18:18" x14ac:dyDescent="0.4">
      <c r="R44" s="26"/>
    </row>
    <row r="45" spans="18:18" x14ac:dyDescent="0.4">
      <c r="R45" s="26"/>
    </row>
    <row r="46" spans="18:18" x14ac:dyDescent="0.4">
      <c r="R46" s="26"/>
    </row>
    <row r="47" spans="18:18" x14ac:dyDescent="0.4">
      <c r="R47" s="26"/>
    </row>
    <row r="48" spans="18:18" x14ac:dyDescent="0.4">
      <c r="R48" s="26"/>
    </row>
    <row r="49" spans="18:18" x14ac:dyDescent="0.4">
      <c r="R49" s="26"/>
    </row>
    <row r="50" spans="18:18" x14ac:dyDescent="0.4">
      <c r="R50" s="26"/>
    </row>
    <row r="51" spans="18:18" x14ac:dyDescent="0.4">
      <c r="R51" s="26"/>
    </row>
    <row r="52" spans="18:18" x14ac:dyDescent="0.4">
      <c r="R52" s="26"/>
    </row>
    <row r="53" spans="18:18" x14ac:dyDescent="0.4">
      <c r="R53" s="26"/>
    </row>
    <row r="298" spans="18:22" x14ac:dyDescent="0.4">
      <c r="R298" s="15"/>
      <c r="S298" s="15"/>
      <c r="T298" s="15"/>
      <c r="U298" s="15"/>
      <c r="V298" s="15"/>
    </row>
  </sheetData>
  <phoneticPr fontId="3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A73C1-E089-4356-9D32-9408F378343A}">
  <sheetPr codeName="Sheet4"/>
  <dimension ref="A1:V619"/>
  <sheetViews>
    <sheetView zoomScale="75" zoomScaleNormal="75" workbookViewId="0"/>
  </sheetViews>
  <sheetFormatPr defaultColWidth="9" defaultRowHeight="18.75" x14ac:dyDescent="0.4"/>
  <cols>
    <col min="1" max="1" width="22.5" style="9" bestFit="1" customWidth="1"/>
    <col min="2" max="2" width="81" style="9" bestFit="1" customWidth="1"/>
    <col min="3" max="3" width="23.125" style="9" bestFit="1" customWidth="1"/>
    <col min="4" max="4" width="42.5" style="9" bestFit="1" customWidth="1"/>
    <col min="5" max="5" width="14" style="9" bestFit="1" customWidth="1"/>
    <col min="6" max="6" width="15.875" style="9" bestFit="1" customWidth="1"/>
    <col min="7" max="7" width="13.625" style="9" bestFit="1" customWidth="1"/>
    <col min="8" max="8" width="15.875" style="9" bestFit="1" customWidth="1"/>
    <col min="9" max="9" width="26.5" style="9" bestFit="1" customWidth="1"/>
    <col min="10" max="10" width="17.5" style="9" bestFit="1" customWidth="1"/>
    <col min="11" max="11" width="81" style="9" bestFit="1" customWidth="1"/>
    <col min="12" max="12" width="27.25" style="9" bestFit="1" customWidth="1"/>
    <col min="13" max="13" width="63.5" style="9" bestFit="1" customWidth="1"/>
    <col min="14" max="16" width="63.5" style="9" customWidth="1"/>
    <col min="17" max="17" width="15.625" style="9" bestFit="1" customWidth="1"/>
    <col min="18" max="18" width="8.25" style="9" bestFit="1" customWidth="1"/>
    <col min="19" max="19" width="22.25" style="9" bestFit="1" customWidth="1"/>
    <col min="20" max="20" width="73.625" style="9" bestFit="1" customWidth="1"/>
    <col min="21" max="21" width="81" style="9" bestFit="1" customWidth="1"/>
    <col min="22" max="22" width="21.75" style="9" bestFit="1" customWidth="1"/>
    <col min="23" max="16384" width="9" style="9"/>
  </cols>
  <sheetData>
    <row r="1" spans="1:17" ht="21" thickBot="1" x14ac:dyDescent="0.45">
      <c r="A1" s="2" t="s">
        <v>17</v>
      </c>
      <c r="B1" s="2"/>
      <c r="C1" s="2"/>
    </row>
    <row r="2" spans="1:17" ht="19.5" thickTop="1" x14ac:dyDescent="0.4">
      <c r="A2" s="1"/>
      <c r="B2" s="1"/>
      <c r="C2" s="1"/>
    </row>
    <row r="3" spans="1:17" x14ac:dyDescent="0.4">
      <c r="A3" s="3" t="s">
        <v>26</v>
      </c>
      <c r="B3" s="4">
        <f>COUNTA(before_follower[ID])</f>
        <v>0</v>
      </c>
      <c r="C3" s="4"/>
    </row>
    <row r="5" spans="1:17" x14ac:dyDescent="0.4">
      <c r="A5" s="14" t="s">
        <v>0</v>
      </c>
      <c r="B5" s="12" t="s">
        <v>1</v>
      </c>
      <c r="C5" s="12" t="s">
        <v>2</v>
      </c>
      <c r="D5" s="12" t="s">
        <v>3</v>
      </c>
      <c r="E5" s="12" t="s">
        <v>4</v>
      </c>
      <c r="F5" s="12" t="s">
        <v>5</v>
      </c>
      <c r="G5" s="12" t="s">
        <v>6</v>
      </c>
      <c r="H5" s="12" t="s">
        <v>7</v>
      </c>
      <c r="I5" s="12" t="s">
        <v>8</v>
      </c>
      <c r="J5" s="12" t="s">
        <v>9</v>
      </c>
      <c r="K5" s="12" t="s">
        <v>10</v>
      </c>
      <c r="L5" s="12" t="s">
        <v>11</v>
      </c>
      <c r="M5" t="s">
        <v>47</v>
      </c>
      <c r="N5" t="s">
        <v>48</v>
      </c>
      <c r="O5" t="s">
        <v>49</v>
      </c>
      <c r="P5" s="13" t="s">
        <v>12</v>
      </c>
      <c r="Q5" s="12" t="s">
        <v>22</v>
      </c>
    </row>
    <row r="6" spans="1:17" x14ac:dyDescent="0.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1:17" x14ac:dyDescent="0.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</row>
    <row r="619" spans="18:22" x14ac:dyDescent="0.4">
      <c r="R619" s="15"/>
      <c r="S619" s="15"/>
      <c r="T619" s="15"/>
      <c r="U619" s="15"/>
      <c r="V619" s="15"/>
    </row>
  </sheetData>
  <phoneticPr fontId="3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9AF6C-4EDC-4FC0-BE69-A95376BF44F4}">
  <sheetPr codeName="Sheet7"/>
  <dimension ref="A1:B8"/>
  <sheetViews>
    <sheetView zoomScale="75" zoomScaleNormal="75" workbookViewId="0"/>
  </sheetViews>
  <sheetFormatPr defaultRowHeight="18.75" x14ac:dyDescent="0.4"/>
  <cols>
    <col min="1" max="1" width="21" customWidth="1"/>
    <col min="2" max="2" width="101.125" customWidth="1"/>
  </cols>
  <sheetData>
    <row r="1" spans="1:2" ht="21" thickBot="1" x14ac:dyDescent="0.45">
      <c r="A1" s="11" t="s">
        <v>51</v>
      </c>
      <c r="B1" s="11"/>
    </row>
    <row r="2" spans="1:2" ht="19.5" thickTop="1" x14ac:dyDescent="0.4"/>
    <row r="3" spans="1:2" x14ac:dyDescent="0.4">
      <c r="A3" t="s">
        <v>52</v>
      </c>
    </row>
    <row r="4" spans="1:2" x14ac:dyDescent="0.4">
      <c r="A4" t="s">
        <v>57</v>
      </c>
    </row>
    <row r="6" spans="1:2" x14ac:dyDescent="0.4">
      <c r="A6" t="s">
        <v>53</v>
      </c>
      <c r="B6" t="s">
        <v>54</v>
      </c>
    </row>
    <row r="7" spans="1:2" x14ac:dyDescent="0.4">
      <c r="A7" t="s">
        <v>55</v>
      </c>
    </row>
    <row r="8" spans="1:2" x14ac:dyDescent="0.4">
      <c r="A8" t="s">
        <v>56</v>
      </c>
    </row>
  </sheetData>
  <phoneticPr fontId="3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95DD8-9FDE-4D71-9D03-26DD584789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compare_results</vt:lpstr>
      <vt:lpstr>ReportLog</vt:lpstr>
      <vt:lpstr>follow</vt:lpstr>
      <vt:lpstr>follower</vt:lpstr>
      <vt:lpstr>before_follow</vt:lpstr>
      <vt:lpstr>before_follower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Twitterのフォロー、フォロワー変化記録ツール</dc:title>
  <dc:creator>Eschamali</dc:creator>
  <dc:description>Ver1.0.0</dc:description>
  <cp:lastModifiedBy>vulpes Vulpes</cp:lastModifiedBy>
  <cp:lastPrinted>2023-04-08T14:32:00Z</cp:lastPrinted>
  <dcterms:created xsi:type="dcterms:W3CDTF">2023-03-31T15:56:07Z</dcterms:created>
  <dcterms:modified xsi:type="dcterms:W3CDTF">2023-05-20T14:15:44Z</dcterms:modified>
</cp:coreProperties>
</file>